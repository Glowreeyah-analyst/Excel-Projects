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HIS PC\Documents\Data Analysis\"/>
    </mc:Choice>
  </mc:AlternateContent>
  <xr:revisionPtr revIDLastSave="0" documentId="13_ncr:1_{12146A33-2662-4D66-AC34-226FFB1F09AB}" xr6:coauthVersionLast="47" xr6:coauthVersionMax="47" xr10:uidLastSave="{00000000-0000-0000-0000-000000000000}"/>
  <bookViews>
    <workbookView xWindow="-120" yWindow="-120" windowWidth="20730" windowHeight="11160" firstSheet="1" activeTab="2" xr2:uid="{00000000-000D-0000-FFFF-FFFF00000000}"/>
  </bookViews>
  <sheets>
    <sheet name="bike_buyers" sheetId="1" r:id="rId1"/>
    <sheet name="Working Sheet" sheetId="2" r:id="rId2"/>
    <sheet name="Dashboard" sheetId="3" r:id="rId3"/>
    <sheet name="Pivot Table" sheetId="4" r:id="rId4"/>
  </sheets>
  <definedNames>
    <definedName name="_xlnm._FilterDatabase" localSheetId="0" hidden="1">bike_buyers!$A$1:$M$1001</definedName>
    <definedName name="_xlnm._FilterDatabase" localSheetId="1" hidden="1">'Working Sheet'!$A$1:$N$1001</definedName>
    <definedName name="Slicer_Age_Bracket">#N/A</definedName>
    <definedName name="Slicer_Education">#N/A</definedName>
    <definedName name="Slicer_Gender">#N/A</definedName>
    <definedName name="Slicer_Marital_Status">#N/A</definedName>
    <definedName name="Slicer_Occupation">#N/A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<sst xmlns="http://schemas.openxmlformats.org/spreadsheetml/2006/main" count="16273" uniqueCount="50">
  <si>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</si>
  <si>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</si>
  <si>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</si>
  <si>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</si>
  <si>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</si>
  <si>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</si>
  <si>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</si>
  <si>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</si>
  <si>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</si>
  <si>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</si>
  <si>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</si>
  <si>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</si>
  <si>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</si>
  <si>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</si>
  <si>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</si>
  <si>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</si>
  <si>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</si>
  <si>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</si>
  <si>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</si>
  <si>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</si>
  <si>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</si>
  <si>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</si>
  <si>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</si>
  <si>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</si>
  <si>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</si>
  <si>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</si>
  <si>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</si>
  <si>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</si>
  <si>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</si>
  <si>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</si>
  <si>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</si>
  <si>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</si>
  <si>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</si>
  <si>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</si>
  <si>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</si>
  <si>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</si>
  <si>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</si>
  <si>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</si>
  <si>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</si>
  <si>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</si>
  <si>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</si>
  <si>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</si>
  <si>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</si>
  <si>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</si>
  <si>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</si>
  <si>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</si>
  <si>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Farther than 10 Miles</t>
  </si>
  <si>
    <t>Middle Age</t>
  </si>
  <si>
    <t>Old</t>
  </si>
  <si>
    <t>Bike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</si>
</sst>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16" fillId="0" borderId="0" xfId="0" applyFont="1"/>
    <xf numFmtId="164" fontId="16" fillId="0" borderId="0" xfId="0" applyNumberFormat="1" applyFon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9" fillId="33"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0</c:formatCode>
                <c:ptCount val="2"/>
                <c:pt idx="0">
                  <c:v>56774.193548387098</c:v>
                </c:pt>
                <c:pt idx="1">
                  <c:v>59307.359307359307</c:v>
                </c:pt>
              </c:numCache>
            </c:numRef>
          </c:val>
          <c:extLst>
            <c:ext xmlns:c16="http://schemas.microsoft.com/office/drawing/2014/chart" uri="{C3380CC4-5D6E-409C-BE32-E72D297353CC}">
              <c16:uniqueId val="{00000000-9926-4BF4-ABFA-2C55F1908B05}"/>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Female</c:v>
                </c:pt>
                <c:pt idx="1">
                  <c:v>Male</c:v>
                </c:pt>
              </c:strCache>
            </c:strRef>
          </c:cat>
          <c:val>
            <c:numRef>
              <c:f>'Pivot Table'!$C$3:$C$5</c:f>
              <c:numCache>
                <c:formatCode>0</c:formatCode>
                <c:ptCount val="2"/>
                <c:pt idx="0">
                  <c:v>57668.161434977577</c:v>
                </c:pt>
                <c:pt idx="1">
                  <c:v>63105.022831050228</c:v>
                </c:pt>
              </c:numCache>
            </c:numRef>
          </c:val>
          <c:extLst>
            <c:ext xmlns:c16="http://schemas.microsoft.com/office/drawing/2014/chart" uri="{C3380CC4-5D6E-409C-BE32-E72D297353CC}">
              <c16:uniqueId val="{00000001-9926-4BF4-ABFA-2C55F1908B05}"/>
            </c:ext>
          </c:extLst>
        </c:ser>
        <c:dLbls>
          <c:showLegendKey val="0"/>
          <c:showVal val="0"/>
          <c:showCatName val="0"/>
          <c:showSerName val="0"/>
          <c:showPercent val="0"/>
          <c:showBubbleSize val="0"/>
        </c:dLbls>
        <c:gapWidth val="150"/>
        <c:shape val="box"/>
        <c:axId val="1693500528"/>
        <c:axId val="1693505936"/>
        <c:axId val="0"/>
      </c:bar3DChart>
      <c:catAx>
        <c:axId val="169350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05936"/>
        <c:crosses val="autoZero"/>
        <c:auto val="1"/>
        <c:lblAlgn val="ctr"/>
        <c:lblOffset val="100"/>
        <c:noMultiLvlLbl val="0"/>
      </c:catAx>
      <c:valAx>
        <c:axId val="1693505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0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a:t>
            </a:r>
            <a:r>
              <a:rPr lang="en-US" baseline="0"/>
              <a:t> Bikes Purchased Per Miles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Table'!$A$19:$A$24</c:f>
              <c:strCache>
                <c:ptCount val="5"/>
                <c:pt idx="0">
                  <c:v>0-1 Miles</c:v>
                </c:pt>
                <c:pt idx="1">
                  <c:v>1-2 Miles</c:v>
                </c:pt>
                <c:pt idx="2">
                  <c:v>2-5 Miles</c:v>
                </c:pt>
                <c:pt idx="3">
                  <c:v>5-10 Miles</c:v>
                </c:pt>
                <c:pt idx="4">
                  <c:v>Farther than 10 Miles</c:v>
                </c:pt>
              </c:strCache>
            </c:strRef>
          </c:cat>
          <c:val>
            <c:numRef>
              <c:f>'Pivot Table'!$B$19:$B$24</c:f>
              <c:numCache>
                <c:formatCode>General</c:formatCode>
                <c:ptCount val="5"/>
                <c:pt idx="0">
                  <c:v>153</c:v>
                </c:pt>
                <c:pt idx="1">
                  <c:v>80</c:v>
                </c:pt>
                <c:pt idx="2">
                  <c:v>54</c:v>
                </c:pt>
                <c:pt idx="3">
                  <c:v>84</c:v>
                </c:pt>
                <c:pt idx="4">
                  <c:v>77</c:v>
                </c:pt>
              </c:numCache>
            </c:numRef>
          </c:val>
          <c:smooth val="0"/>
          <c:extLst>
            <c:ext xmlns:c16="http://schemas.microsoft.com/office/drawing/2014/chart" uri="{C3380CC4-5D6E-409C-BE32-E72D297353CC}">
              <c16:uniqueId val="{00000000-9F04-4EB4-916A-55F96D9CF423}"/>
            </c:ext>
          </c:extLst>
        </c:ser>
        <c:ser>
          <c:idx val="1"/>
          <c:order val="1"/>
          <c:tx>
            <c:strRef>
              <c:f>'Pivot Table'!$C$17:$C$18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Table'!$A$19:$A$24</c:f>
              <c:strCache>
                <c:ptCount val="5"/>
                <c:pt idx="0">
                  <c:v>0-1 Miles</c:v>
                </c:pt>
                <c:pt idx="1">
                  <c:v>1-2 Miles</c:v>
                </c:pt>
                <c:pt idx="2">
                  <c:v>2-5 Miles</c:v>
                </c:pt>
                <c:pt idx="3">
                  <c:v>5-10 Miles</c:v>
                </c:pt>
                <c:pt idx="4">
                  <c:v>Farther than 10 Miles</c:v>
                </c:pt>
              </c:strCache>
            </c:strRef>
          </c:cat>
          <c:val>
            <c:numRef>
              <c:f>'Pivot Table'!$C$19:$C$24</c:f>
              <c:numCache>
                <c:formatCode>General</c:formatCode>
                <c:ptCount val="5"/>
                <c:pt idx="0">
                  <c:v>174</c:v>
                </c:pt>
                <c:pt idx="1">
                  <c:v>73</c:v>
                </c:pt>
                <c:pt idx="2">
                  <c:v>93</c:v>
                </c:pt>
                <c:pt idx="3">
                  <c:v>71</c:v>
                </c:pt>
                <c:pt idx="4">
                  <c:v>31</c:v>
                </c:pt>
              </c:numCache>
            </c:numRef>
          </c:val>
          <c:smooth val="0"/>
          <c:extLst>
            <c:ext xmlns:c16="http://schemas.microsoft.com/office/drawing/2014/chart" uri="{C3380CC4-5D6E-409C-BE32-E72D297353CC}">
              <c16:uniqueId val="{00000001-9F04-4EB4-916A-55F96D9CF423}"/>
            </c:ext>
          </c:extLst>
        </c:ser>
        <c:dLbls>
          <c:showLegendKey val="0"/>
          <c:showVal val="0"/>
          <c:showCatName val="0"/>
          <c:showSerName val="0"/>
          <c:showPercent val="0"/>
          <c:showBubbleSize val="0"/>
        </c:dLbls>
        <c:marker val="1"/>
        <c:smooth val="0"/>
        <c:axId val="1987800016"/>
        <c:axId val="1987812912"/>
      </c:lineChart>
      <c:catAx>
        <c:axId val="1987800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812912"/>
        <c:crosses val="autoZero"/>
        <c:auto val="1"/>
        <c:lblAlgn val="ctr"/>
        <c:lblOffset val="100"/>
        <c:noMultiLvlLbl val="0"/>
      </c:catAx>
      <c:valAx>
        <c:axId val="198781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Bike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80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of Bikes According to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268285214348207"/>
              <c:y val="-3.66987459900845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268285214348207"/>
              <c:y val="-3.66987459900845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268285214348207"/>
              <c:y val="-3.66987459900845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 Table'!$B$35:$B$36</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97-4CDE-8958-61916F3617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97-4CDE-8958-61916F3617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97-4CDE-8958-61916F3617AE}"/>
              </c:ext>
            </c:extLst>
          </c:dPt>
          <c:dLbls>
            <c:dLbl>
              <c:idx val="0"/>
              <c:layout>
                <c:manualLayout>
                  <c:x val="-0.12268285214348207"/>
                  <c:y val="-3.669874599008457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97-4CDE-8958-61916F3617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Table'!$A$37:$A$39</c:f>
              <c:strCache>
                <c:ptCount val="2"/>
                <c:pt idx="0">
                  <c:v>Middle Age</c:v>
                </c:pt>
                <c:pt idx="1">
                  <c:v>Old</c:v>
                </c:pt>
              </c:strCache>
            </c:strRef>
          </c:cat>
          <c:val>
            <c:numRef>
              <c:f>'Pivot Table'!$B$37:$B$39</c:f>
              <c:numCache>
                <c:formatCode>General</c:formatCode>
                <c:ptCount val="2"/>
                <c:pt idx="0">
                  <c:v>331</c:v>
                </c:pt>
                <c:pt idx="1">
                  <c:v>117</c:v>
                </c:pt>
              </c:numCache>
            </c:numRef>
          </c:val>
          <c:extLst>
            <c:ext xmlns:c16="http://schemas.microsoft.com/office/drawing/2014/chart" uri="{C3380CC4-5D6E-409C-BE32-E72D297353CC}">
              <c16:uniqueId val="{00000006-9797-4CDE-8958-61916F3617AE}"/>
            </c:ext>
          </c:extLst>
        </c:ser>
        <c:ser>
          <c:idx val="1"/>
          <c:order val="1"/>
          <c:tx>
            <c:strRef>
              <c:f>'Pivot Table'!$C$35:$C$36</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9797-4CDE-8958-61916F3617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9797-4CDE-8958-61916F3617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9797-4CDE-8958-61916F3617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Table'!$A$37:$A$39</c:f>
              <c:strCache>
                <c:ptCount val="2"/>
                <c:pt idx="0">
                  <c:v>Middle Age</c:v>
                </c:pt>
                <c:pt idx="1">
                  <c:v>Old</c:v>
                </c:pt>
              </c:strCache>
            </c:strRef>
          </c:cat>
          <c:val>
            <c:numRef>
              <c:f>'Pivot Table'!$C$37:$C$39</c:f>
              <c:numCache>
                <c:formatCode>General</c:formatCode>
                <c:ptCount val="2"/>
                <c:pt idx="0">
                  <c:v>388</c:v>
                </c:pt>
                <c:pt idx="1">
                  <c:v>54</c:v>
                </c:pt>
              </c:numCache>
            </c:numRef>
          </c:val>
          <c:extLst>
            <c:ext xmlns:c16="http://schemas.microsoft.com/office/drawing/2014/chart" uri="{C3380CC4-5D6E-409C-BE32-E72D297353CC}">
              <c16:uniqueId val="{0000000D-9797-4CDE-8958-61916F3617A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of Bikes Acorrding to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Table'!$B$53:$B$54</c:f>
              <c:strCache>
                <c:ptCount val="1"/>
                <c:pt idx="0">
                  <c:v>No</c:v>
                </c:pt>
              </c:strCache>
            </c:strRef>
          </c:tx>
          <c:spPr>
            <a:solidFill>
              <a:schemeClr val="accent1"/>
            </a:solidFill>
            <a:ln>
              <a:noFill/>
            </a:ln>
            <a:effectLst/>
            <a:sp3d/>
          </c:spPr>
          <c:invertIfNegative val="0"/>
          <c:cat>
            <c:strRef>
              <c:f>'Pivot Table'!$A$55:$A$102</c:f>
              <c:strCache>
                <c:ptCount val="47"/>
                <c:pt idx="0">
                  <c:v>31</c:v>
                </c:pt>
                <c:pt idx="1">
                  <c:v>32</c:v>
                </c:pt>
                <c:pt idx="2">
                  <c:v>33</c:v>
                </c:pt>
                <c:pt idx="3">
                  <c:v>34</c:v>
                </c:pt>
                <c:pt idx="4">
                  <c:v>35</c:v>
                </c:pt>
                <c:pt idx="5">
                  <c:v>36</c:v>
                </c:pt>
                <c:pt idx="6">
                  <c:v>37</c:v>
                </c:pt>
                <c:pt idx="7">
                  <c:v>38</c:v>
                </c:pt>
                <c:pt idx="8">
                  <c:v>39</c:v>
                </c:pt>
                <c:pt idx="9">
                  <c:v>40</c:v>
                </c:pt>
                <c:pt idx="10">
                  <c:v>41</c:v>
                </c:pt>
                <c:pt idx="11">
                  <c:v>42</c:v>
                </c:pt>
                <c:pt idx="12">
                  <c:v>43</c:v>
                </c:pt>
                <c:pt idx="13">
                  <c:v>44</c:v>
                </c:pt>
                <c:pt idx="14">
                  <c:v>45</c:v>
                </c:pt>
                <c:pt idx="15">
                  <c:v>46</c:v>
                </c:pt>
                <c:pt idx="16">
                  <c:v>47</c:v>
                </c:pt>
                <c:pt idx="17">
                  <c:v>48</c:v>
                </c:pt>
                <c:pt idx="18">
                  <c:v>49</c:v>
                </c:pt>
                <c:pt idx="19">
                  <c:v>50</c:v>
                </c:pt>
                <c:pt idx="20">
                  <c:v>51</c:v>
                </c:pt>
                <c:pt idx="21">
                  <c:v>52</c:v>
                </c:pt>
                <c:pt idx="22">
                  <c:v>53</c:v>
                </c:pt>
                <c:pt idx="23">
                  <c:v>54</c:v>
                </c:pt>
                <c:pt idx="24">
                  <c:v>55</c:v>
                </c:pt>
                <c:pt idx="25">
                  <c:v>56</c:v>
                </c:pt>
                <c:pt idx="26">
                  <c:v>57</c:v>
                </c:pt>
                <c:pt idx="27">
                  <c:v>58</c:v>
                </c:pt>
                <c:pt idx="28">
                  <c:v>59</c:v>
                </c:pt>
                <c:pt idx="29">
                  <c:v>60</c:v>
                </c:pt>
                <c:pt idx="30">
                  <c:v>61</c:v>
                </c:pt>
                <c:pt idx="31">
                  <c:v>62</c:v>
                </c:pt>
                <c:pt idx="32">
                  <c:v>63</c:v>
                </c:pt>
                <c:pt idx="33">
                  <c:v>64</c:v>
                </c:pt>
                <c:pt idx="34">
                  <c:v>65</c:v>
                </c:pt>
                <c:pt idx="35">
                  <c:v>66</c:v>
                </c:pt>
                <c:pt idx="36">
                  <c:v>67</c:v>
                </c:pt>
                <c:pt idx="37">
                  <c:v>68</c:v>
                </c:pt>
                <c:pt idx="38">
                  <c:v>69</c:v>
                </c:pt>
                <c:pt idx="39">
                  <c:v>70</c:v>
                </c:pt>
                <c:pt idx="40">
                  <c:v>71</c:v>
                </c:pt>
                <c:pt idx="41">
                  <c:v>72</c:v>
                </c:pt>
                <c:pt idx="42">
                  <c:v>73</c:v>
                </c:pt>
                <c:pt idx="43">
                  <c:v>74</c:v>
                </c:pt>
                <c:pt idx="44">
                  <c:v>78</c:v>
                </c:pt>
                <c:pt idx="45">
                  <c:v>80</c:v>
                </c:pt>
                <c:pt idx="46">
                  <c:v>89</c:v>
                </c:pt>
              </c:strCache>
            </c:strRef>
          </c:cat>
          <c:val>
            <c:numRef>
              <c:f>'Pivot Table'!$B$55:$B$102</c:f>
              <c:numCache>
                <c:formatCode>General</c:formatCode>
                <c:ptCount val="47"/>
                <c:pt idx="0">
                  <c:v>17</c:v>
                </c:pt>
                <c:pt idx="1">
                  <c:v>19</c:v>
                </c:pt>
                <c:pt idx="2">
                  <c:v>8</c:v>
                </c:pt>
                <c:pt idx="3">
                  <c:v>12</c:v>
                </c:pt>
                <c:pt idx="4">
                  <c:v>14</c:v>
                </c:pt>
                <c:pt idx="5">
                  <c:v>7</c:v>
                </c:pt>
                <c:pt idx="6">
                  <c:v>4</c:v>
                </c:pt>
                <c:pt idx="7">
                  <c:v>8</c:v>
                </c:pt>
                <c:pt idx="8">
                  <c:v>10</c:v>
                </c:pt>
                <c:pt idx="9">
                  <c:v>24</c:v>
                </c:pt>
                <c:pt idx="10">
                  <c:v>13</c:v>
                </c:pt>
                <c:pt idx="11">
                  <c:v>22</c:v>
                </c:pt>
                <c:pt idx="12">
                  <c:v>17</c:v>
                </c:pt>
                <c:pt idx="13">
                  <c:v>15</c:v>
                </c:pt>
                <c:pt idx="14">
                  <c:v>18</c:v>
                </c:pt>
                <c:pt idx="15">
                  <c:v>12</c:v>
                </c:pt>
                <c:pt idx="16">
                  <c:v>19</c:v>
                </c:pt>
                <c:pt idx="17">
                  <c:v>16</c:v>
                </c:pt>
                <c:pt idx="18">
                  <c:v>15</c:v>
                </c:pt>
                <c:pt idx="19">
                  <c:v>12</c:v>
                </c:pt>
                <c:pt idx="20">
                  <c:v>10</c:v>
                </c:pt>
                <c:pt idx="21">
                  <c:v>10</c:v>
                </c:pt>
                <c:pt idx="22">
                  <c:v>11</c:v>
                </c:pt>
                <c:pt idx="23">
                  <c:v>5</c:v>
                </c:pt>
                <c:pt idx="24">
                  <c:v>13</c:v>
                </c:pt>
                <c:pt idx="25">
                  <c:v>13</c:v>
                </c:pt>
                <c:pt idx="26">
                  <c:v>4</c:v>
                </c:pt>
                <c:pt idx="27">
                  <c:v>8</c:v>
                </c:pt>
                <c:pt idx="28">
                  <c:v>14</c:v>
                </c:pt>
                <c:pt idx="29">
                  <c:v>8</c:v>
                </c:pt>
                <c:pt idx="30">
                  <c:v>5</c:v>
                </c:pt>
                <c:pt idx="31">
                  <c:v>9</c:v>
                </c:pt>
                <c:pt idx="32">
                  <c:v>7</c:v>
                </c:pt>
                <c:pt idx="33">
                  <c:v>7</c:v>
                </c:pt>
                <c:pt idx="34">
                  <c:v>6</c:v>
                </c:pt>
                <c:pt idx="35">
                  <c:v>8</c:v>
                </c:pt>
                <c:pt idx="36">
                  <c:v>8</c:v>
                </c:pt>
                <c:pt idx="37">
                  <c:v>3</c:v>
                </c:pt>
                <c:pt idx="38">
                  <c:v>8</c:v>
                </c:pt>
                <c:pt idx="39">
                  <c:v>3</c:v>
                </c:pt>
                <c:pt idx="40">
                  <c:v>1</c:v>
                </c:pt>
                <c:pt idx="42">
                  <c:v>2</c:v>
                </c:pt>
                <c:pt idx="44">
                  <c:v>1</c:v>
                </c:pt>
                <c:pt idx="45">
                  <c:v>1</c:v>
                </c:pt>
                <c:pt idx="46">
                  <c:v>1</c:v>
                </c:pt>
              </c:numCache>
            </c:numRef>
          </c:val>
          <c:extLst>
            <c:ext xmlns:c16="http://schemas.microsoft.com/office/drawing/2014/chart" uri="{C3380CC4-5D6E-409C-BE32-E72D297353CC}">
              <c16:uniqueId val="{00000000-55E9-4FA0-897B-0E7FCA1A0FD4}"/>
            </c:ext>
          </c:extLst>
        </c:ser>
        <c:ser>
          <c:idx val="1"/>
          <c:order val="1"/>
          <c:tx>
            <c:strRef>
              <c:f>'Pivot Table'!$C$53:$C$54</c:f>
              <c:strCache>
                <c:ptCount val="1"/>
                <c:pt idx="0">
                  <c:v>Yes</c:v>
                </c:pt>
              </c:strCache>
            </c:strRef>
          </c:tx>
          <c:spPr>
            <a:solidFill>
              <a:schemeClr val="accent2"/>
            </a:solidFill>
            <a:ln>
              <a:noFill/>
            </a:ln>
            <a:effectLst/>
            <a:sp3d/>
          </c:spPr>
          <c:invertIfNegative val="0"/>
          <c:cat>
            <c:strRef>
              <c:f>'Pivot Table'!$A$55:$A$102</c:f>
              <c:strCache>
                <c:ptCount val="47"/>
                <c:pt idx="0">
                  <c:v>31</c:v>
                </c:pt>
                <c:pt idx="1">
                  <c:v>32</c:v>
                </c:pt>
                <c:pt idx="2">
                  <c:v>33</c:v>
                </c:pt>
                <c:pt idx="3">
                  <c:v>34</c:v>
                </c:pt>
                <c:pt idx="4">
                  <c:v>35</c:v>
                </c:pt>
                <c:pt idx="5">
                  <c:v>36</c:v>
                </c:pt>
                <c:pt idx="6">
                  <c:v>37</c:v>
                </c:pt>
                <c:pt idx="7">
                  <c:v>38</c:v>
                </c:pt>
                <c:pt idx="8">
                  <c:v>39</c:v>
                </c:pt>
                <c:pt idx="9">
                  <c:v>40</c:v>
                </c:pt>
                <c:pt idx="10">
                  <c:v>41</c:v>
                </c:pt>
                <c:pt idx="11">
                  <c:v>42</c:v>
                </c:pt>
                <c:pt idx="12">
                  <c:v>43</c:v>
                </c:pt>
                <c:pt idx="13">
                  <c:v>44</c:v>
                </c:pt>
                <c:pt idx="14">
                  <c:v>45</c:v>
                </c:pt>
                <c:pt idx="15">
                  <c:v>46</c:v>
                </c:pt>
                <c:pt idx="16">
                  <c:v>47</c:v>
                </c:pt>
                <c:pt idx="17">
                  <c:v>48</c:v>
                </c:pt>
                <c:pt idx="18">
                  <c:v>49</c:v>
                </c:pt>
                <c:pt idx="19">
                  <c:v>50</c:v>
                </c:pt>
                <c:pt idx="20">
                  <c:v>51</c:v>
                </c:pt>
                <c:pt idx="21">
                  <c:v>52</c:v>
                </c:pt>
                <c:pt idx="22">
                  <c:v>53</c:v>
                </c:pt>
                <c:pt idx="23">
                  <c:v>54</c:v>
                </c:pt>
                <c:pt idx="24">
                  <c:v>55</c:v>
                </c:pt>
                <c:pt idx="25">
                  <c:v>56</c:v>
                </c:pt>
                <c:pt idx="26">
                  <c:v>57</c:v>
                </c:pt>
                <c:pt idx="27">
                  <c:v>58</c:v>
                </c:pt>
                <c:pt idx="28">
                  <c:v>59</c:v>
                </c:pt>
                <c:pt idx="29">
                  <c:v>60</c:v>
                </c:pt>
                <c:pt idx="30">
                  <c:v>61</c:v>
                </c:pt>
                <c:pt idx="31">
                  <c:v>62</c:v>
                </c:pt>
                <c:pt idx="32">
                  <c:v>63</c:v>
                </c:pt>
                <c:pt idx="33">
                  <c:v>64</c:v>
                </c:pt>
                <c:pt idx="34">
                  <c:v>65</c:v>
                </c:pt>
                <c:pt idx="35">
                  <c:v>66</c:v>
                </c:pt>
                <c:pt idx="36">
                  <c:v>67</c:v>
                </c:pt>
                <c:pt idx="37">
                  <c:v>68</c:v>
                </c:pt>
                <c:pt idx="38">
                  <c:v>69</c:v>
                </c:pt>
                <c:pt idx="39">
                  <c:v>70</c:v>
                </c:pt>
                <c:pt idx="40">
                  <c:v>71</c:v>
                </c:pt>
                <c:pt idx="41">
                  <c:v>72</c:v>
                </c:pt>
                <c:pt idx="42">
                  <c:v>73</c:v>
                </c:pt>
                <c:pt idx="43">
                  <c:v>74</c:v>
                </c:pt>
                <c:pt idx="44">
                  <c:v>78</c:v>
                </c:pt>
                <c:pt idx="45">
                  <c:v>80</c:v>
                </c:pt>
                <c:pt idx="46">
                  <c:v>89</c:v>
                </c:pt>
              </c:strCache>
            </c:strRef>
          </c:cat>
          <c:val>
            <c:numRef>
              <c:f>'Pivot Table'!$C$55:$C$102</c:f>
              <c:numCache>
                <c:formatCode>General</c:formatCode>
                <c:ptCount val="47"/>
                <c:pt idx="0">
                  <c:v>8</c:v>
                </c:pt>
                <c:pt idx="1">
                  <c:v>14</c:v>
                </c:pt>
                <c:pt idx="2">
                  <c:v>13</c:v>
                </c:pt>
                <c:pt idx="3">
                  <c:v>19</c:v>
                </c:pt>
                <c:pt idx="4">
                  <c:v>22</c:v>
                </c:pt>
                <c:pt idx="5">
                  <c:v>30</c:v>
                </c:pt>
                <c:pt idx="6">
                  <c:v>28</c:v>
                </c:pt>
                <c:pt idx="7">
                  <c:v>29</c:v>
                </c:pt>
                <c:pt idx="8">
                  <c:v>12</c:v>
                </c:pt>
                <c:pt idx="9">
                  <c:v>18</c:v>
                </c:pt>
                <c:pt idx="10">
                  <c:v>15</c:v>
                </c:pt>
                <c:pt idx="11">
                  <c:v>12</c:v>
                </c:pt>
                <c:pt idx="12">
                  <c:v>19</c:v>
                </c:pt>
                <c:pt idx="13">
                  <c:v>12</c:v>
                </c:pt>
                <c:pt idx="14">
                  <c:v>13</c:v>
                </c:pt>
                <c:pt idx="15">
                  <c:v>15</c:v>
                </c:pt>
                <c:pt idx="16">
                  <c:v>20</c:v>
                </c:pt>
                <c:pt idx="17">
                  <c:v>13</c:v>
                </c:pt>
                <c:pt idx="18">
                  <c:v>8</c:v>
                </c:pt>
                <c:pt idx="19">
                  <c:v>12</c:v>
                </c:pt>
                <c:pt idx="20">
                  <c:v>12</c:v>
                </c:pt>
                <c:pt idx="21">
                  <c:v>15</c:v>
                </c:pt>
                <c:pt idx="22">
                  <c:v>13</c:v>
                </c:pt>
                <c:pt idx="23">
                  <c:v>11</c:v>
                </c:pt>
                <c:pt idx="24">
                  <c:v>5</c:v>
                </c:pt>
                <c:pt idx="25">
                  <c:v>3</c:v>
                </c:pt>
                <c:pt idx="26">
                  <c:v>4</c:v>
                </c:pt>
                <c:pt idx="27">
                  <c:v>4</c:v>
                </c:pt>
                <c:pt idx="28">
                  <c:v>6</c:v>
                </c:pt>
                <c:pt idx="29">
                  <c:v>7</c:v>
                </c:pt>
                <c:pt idx="30">
                  <c:v>4</c:v>
                </c:pt>
                <c:pt idx="31">
                  <c:v>4</c:v>
                </c:pt>
                <c:pt idx="32">
                  <c:v>2</c:v>
                </c:pt>
                <c:pt idx="33">
                  <c:v>3</c:v>
                </c:pt>
                <c:pt idx="34">
                  <c:v>3</c:v>
                </c:pt>
                <c:pt idx="35">
                  <c:v>6</c:v>
                </c:pt>
                <c:pt idx="36">
                  <c:v>2</c:v>
                </c:pt>
                <c:pt idx="39">
                  <c:v>1</c:v>
                </c:pt>
                <c:pt idx="41">
                  <c:v>1</c:v>
                </c:pt>
                <c:pt idx="42">
                  <c:v>2</c:v>
                </c:pt>
                <c:pt idx="43">
                  <c:v>1</c:v>
                </c:pt>
                <c:pt idx="44">
                  <c:v>1</c:v>
                </c:pt>
              </c:numCache>
            </c:numRef>
          </c:val>
          <c:extLst>
            <c:ext xmlns:c16="http://schemas.microsoft.com/office/drawing/2014/chart" uri="{C3380CC4-5D6E-409C-BE32-E72D297353CC}">
              <c16:uniqueId val="{00000001-55E9-4FA0-897B-0E7FCA1A0FD4}"/>
            </c:ext>
          </c:extLst>
        </c:ser>
        <c:dLbls>
          <c:showLegendKey val="0"/>
          <c:showVal val="0"/>
          <c:showCatName val="0"/>
          <c:showSerName val="0"/>
          <c:showPercent val="0"/>
          <c:showBubbleSize val="0"/>
        </c:dLbls>
        <c:gapWidth val="150"/>
        <c:shape val="box"/>
        <c:axId val="1994349504"/>
        <c:axId val="1994352000"/>
        <c:axId val="0"/>
      </c:bar3DChart>
      <c:catAx>
        <c:axId val="1994349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352000"/>
        <c:crosses val="autoZero"/>
        <c:auto val="1"/>
        <c:lblAlgn val="ctr"/>
        <c:lblOffset val="100"/>
        <c:noMultiLvlLbl val="0"/>
      </c:catAx>
      <c:valAx>
        <c:axId val="199435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34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0</c:formatCode>
                <c:ptCount val="2"/>
                <c:pt idx="0">
                  <c:v>56774.193548387098</c:v>
                </c:pt>
                <c:pt idx="1">
                  <c:v>59307.359307359307</c:v>
                </c:pt>
              </c:numCache>
            </c:numRef>
          </c:val>
          <c:extLst>
            <c:ext xmlns:c16="http://schemas.microsoft.com/office/drawing/2014/chart" uri="{C3380CC4-5D6E-409C-BE32-E72D297353CC}">
              <c16:uniqueId val="{00000000-A218-43ED-8D4E-0F0D445E635C}"/>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Female</c:v>
                </c:pt>
                <c:pt idx="1">
                  <c:v>Male</c:v>
                </c:pt>
              </c:strCache>
            </c:strRef>
          </c:cat>
          <c:val>
            <c:numRef>
              <c:f>'Pivot Table'!$C$3:$C$5</c:f>
              <c:numCache>
                <c:formatCode>0</c:formatCode>
                <c:ptCount val="2"/>
                <c:pt idx="0">
                  <c:v>57668.161434977577</c:v>
                </c:pt>
                <c:pt idx="1">
                  <c:v>63105.022831050228</c:v>
                </c:pt>
              </c:numCache>
            </c:numRef>
          </c:val>
          <c:extLst>
            <c:ext xmlns:c16="http://schemas.microsoft.com/office/drawing/2014/chart" uri="{C3380CC4-5D6E-409C-BE32-E72D297353CC}">
              <c16:uniqueId val="{00000001-A218-43ED-8D4E-0F0D445E635C}"/>
            </c:ext>
          </c:extLst>
        </c:ser>
        <c:dLbls>
          <c:showLegendKey val="0"/>
          <c:showVal val="0"/>
          <c:showCatName val="0"/>
          <c:showSerName val="0"/>
          <c:showPercent val="0"/>
          <c:showBubbleSize val="0"/>
        </c:dLbls>
        <c:gapWidth val="150"/>
        <c:shape val="box"/>
        <c:axId val="1693500528"/>
        <c:axId val="1693505936"/>
        <c:axId val="0"/>
      </c:bar3DChart>
      <c:catAx>
        <c:axId val="169350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05936"/>
        <c:crosses val="autoZero"/>
        <c:auto val="1"/>
        <c:lblAlgn val="ctr"/>
        <c:lblOffset val="100"/>
        <c:noMultiLvlLbl val="0"/>
      </c:catAx>
      <c:valAx>
        <c:axId val="1693505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0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a:t>
            </a:r>
            <a:r>
              <a:rPr lang="en-US" baseline="0"/>
              <a:t> Bikes Purchased Per Miles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Table'!$A$19:$A$24</c:f>
              <c:strCache>
                <c:ptCount val="5"/>
                <c:pt idx="0">
                  <c:v>0-1 Miles</c:v>
                </c:pt>
                <c:pt idx="1">
                  <c:v>1-2 Miles</c:v>
                </c:pt>
                <c:pt idx="2">
                  <c:v>2-5 Miles</c:v>
                </c:pt>
                <c:pt idx="3">
                  <c:v>5-10 Miles</c:v>
                </c:pt>
                <c:pt idx="4">
                  <c:v>Farther than 10 Miles</c:v>
                </c:pt>
              </c:strCache>
            </c:strRef>
          </c:cat>
          <c:val>
            <c:numRef>
              <c:f>'Pivot Table'!$B$19:$B$24</c:f>
              <c:numCache>
                <c:formatCode>General</c:formatCode>
                <c:ptCount val="5"/>
                <c:pt idx="0">
                  <c:v>153</c:v>
                </c:pt>
                <c:pt idx="1">
                  <c:v>80</c:v>
                </c:pt>
                <c:pt idx="2">
                  <c:v>54</c:v>
                </c:pt>
                <c:pt idx="3">
                  <c:v>84</c:v>
                </c:pt>
                <c:pt idx="4">
                  <c:v>77</c:v>
                </c:pt>
              </c:numCache>
            </c:numRef>
          </c:val>
          <c:smooth val="0"/>
          <c:extLst>
            <c:ext xmlns:c16="http://schemas.microsoft.com/office/drawing/2014/chart" uri="{C3380CC4-5D6E-409C-BE32-E72D297353CC}">
              <c16:uniqueId val="{00000000-E5F8-404A-9A90-966401D9A161}"/>
            </c:ext>
          </c:extLst>
        </c:ser>
        <c:ser>
          <c:idx val="1"/>
          <c:order val="1"/>
          <c:tx>
            <c:strRef>
              <c:f>'Pivot Table'!$C$17:$C$18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Table'!$A$19:$A$24</c:f>
              <c:strCache>
                <c:ptCount val="5"/>
                <c:pt idx="0">
                  <c:v>0-1 Miles</c:v>
                </c:pt>
                <c:pt idx="1">
                  <c:v>1-2 Miles</c:v>
                </c:pt>
                <c:pt idx="2">
                  <c:v>2-5 Miles</c:v>
                </c:pt>
                <c:pt idx="3">
                  <c:v>5-10 Miles</c:v>
                </c:pt>
                <c:pt idx="4">
                  <c:v>Farther than 10 Miles</c:v>
                </c:pt>
              </c:strCache>
            </c:strRef>
          </c:cat>
          <c:val>
            <c:numRef>
              <c:f>'Pivot Table'!$C$19:$C$24</c:f>
              <c:numCache>
                <c:formatCode>General</c:formatCode>
                <c:ptCount val="5"/>
                <c:pt idx="0">
                  <c:v>174</c:v>
                </c:pt>
                <c:pt idx="1">
                  <c:v>73</c:v>
                </c:pt>
                <c:pt idx="2">
                  <c:v>93</c:v>
                </c:pt>
                <c:pt idx="3">
                  <c:v>71</c:v>
                </c:pt>
                <c:pt idx="4">
                  <c:v>31</c:v>
                </c:pt>
              </c:numCache>
            </c:numRef>
          </c:val>
          <c:smooth val="0"/>
          <c:extLst>
            <c:ext xmlns:c16="http://schemas.microsoft.com/office/drawing/2014/chart" uri="{C3380CC4-5D6E-409C-BE32-E72D297353CC}">
              <c16:uniqueId val="{00000001-E5F8-404A-9A90-966401D9A161}"/>
            </c:ext>
          </c:extLst>
        </c:ser>
        <c:dLbls>
          <c:showLegendKey val="0"/>
          <c:showVal val="0"/>
          <c:showCatName val="0"/>
          <c:showSerName val="0"/>
          <c:showPercent val="0"/>
          <c:showBubbleSize val="0"/>
        </c:dLbls>
        <c:marker val="1"/>
        <c:smooth val="0"/>
        <c:axId val="1987800016"/>
        <c:axId val="1987812912"/>
      </c:lineChart>
      <c:catAx>
        <c:axId val="1987800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812912"/>
        <c:crosses val="autoZero"/>
        <c:auto val="1"/>
        <c:lblAlgn val="ctr"/>
        <c:lblOffset val="100"/>
        <c:noMultiLvlLbl val="0"/>
      </c:catAx>
      <c:valAx>
        <c:axId val="198781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Bike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80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of Bikes According to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268285214348207"/>
              <c:y val="-3.66987459900845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Table'!$B$35:$B$36</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A21-4E1F-B286-A94CC7F94D03}"/>
              </c:ext>
            </c:extLst>
          </c:dPt>
          <c:dPt>
            <c:idx val="1"/>
            <c:bubble3D val="0"/>
            <c:spPr>
              <a:solidFill>
                <a:schemeClr val="accent2"/>
              </a:solidFill>
              <a:ln w="19050">
                <a:solidFill>
                  <a:schemeClr val="lt1"/>
                </a:solidFill>
              </a:ln>
              <a:effectLst/>
            </c:spPr>
          </c:dPt>
          <c:dLbls>
            <c:dLbl>
              <c:idx val="0"/>
              <c:layout>
                <c:manualLayout>
                  <c:x val="-0.12268285214348207"/>
                  <c:y val="-3.669874599008457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21-4E1F-B286-A94CC7F94D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Table'!$A$37:$A$39</c:f>
              <c:strCache>
                <c:ptCount val="2"/>
                <c:pt idx="0">
                  <c:v>Middle Age</c:v>
                </c:pt>
                <c:pt idx="1">
                  <c:v>Old</c:v>
                </c:pt>
              </c:strCache>
            </c:strRef>
          </c:cat>
          <c:val>
            <c:numRef>
              <c:f>'Pivot Table'!$B$37:$B$39</c:f>
              <c:numCache>
                <c:formatCode>General</c:formatCode>
                <c:ptCount val="2"/>
                <c:pt idx="0">
                  <c:v>331</c:v>
                </c:pt>
                <c:pt idx="1">
                  <c:v>117</c:v>
                </c:pt>
              </c:numCache>
            </c:numRef>
          </c:val>
          <c:extLst>
            <c:ext xmlns:c16="http://schemas.microsoft.com/office/drawing/2014/chart" uri="{C3380CC4-5D6E-409C-BE32-E72D297353CC}">
              <c16:uniqueId val="{00000000-3A21-4E1F-B286-A94CC7F94D03}"/>
            </c:ext>
          </c:extLst>
        </c:ser>
        <c:ser>
          <c:idx val="1"/>
          <c:order val="1"/>
          <c:tx>
            <c:strRef>
              <c:f>'Pivot Table'!$C$35:$C$36</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Table'!$A$37:$A$39</c:f>
              <c:strCache>
                <c:ptCount val="2"/>
                <c:pt idx="0">
                  <c:v>Middle Age</c:v>
                </c:pt>
                <c:pt idx="1">
                  <c:v>Old</c:v>
                </c:pt>
              </c:strCache>
            </c:strRef>
          </c:cat>
          <c:val>
            <c:numRef>
              <c:f>'Pivot Table'!$C$37:$C$39</c:f>
              <c:numCache>
                <c:formatCode>General</c:formatCode>
                <c:ptCount val="2"/>
                <c:pt idx="0">
                  <c:v>388</c:v>
                </c:pt>
                <c:pt idx="1">
                  <c:v>54</c:v>
                </c:pt>
              </c:numCache>
            </c:numRef>
          </c:val>
          <c:extLst>
            <c:ext xmlns:c16="http://schemas.microsoft.com/office/drawing/2014/chart" uri="{C3380CC4-5D6E-409C-BE32-E72D297353CC}">
              <c16:uniqueId val="{00000001-3A21-4E1F-B286-A94CC7F94D0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of Bikes Acorrding to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Table'!$B$53:$B$54</c:f>
              <c:strCache>
                <c:ptCount val="1"/>
                <c:pt idx="0">
                  <c:v>No</c:v>
                </c:pt>
              </c:strCache>
            </c:strRef>
          </c:tx>
          <c:spPr>
            <a:solidFill>
              <a:schemeClr val="accent1"/>
            </a:solidFill>
            <a:ln>
              <a:noFill/>
            </a:ln>
            <a:effectLst/>
            <a:sp3d/>
          </c:spPr>
          <c:invertIfNegative val="0"/>
          <c:cat>
            <c:strRef>
              <c:f>'Pivot Table'!$A$55:$A$102</c:f>
              <c:strCache>
                <c:ptCount val="47"/>
                <c:pt idx="0">
                  <c:v>31</c:v>
                </c:pt>
                <c:pt idx="1">
                  <c:v>32</c:v>
                </c:pt>
                <c:pt idx="2">
                  <c:v>33</c:v>
                </c:pt>
                <c:pt idx="3">
                  <c:v>34</c:v>
                </c:pt>
                <c:pt idx="4">
                  <c:v>35</c:v>
                </c:pt>
                <c:pt idx="5">
                  <c:v>36</c:v>
                </c:pt>
                <c:pt idx="6">
                  <c:v>37</c:v>
                </c:pt>
                <c:pt idx="7">
                  <c:v>38</c:v>
                </c:pt>
                <c:pt idx="8">
                  <c:v>39</c:v>
                </c:pt>
                <c:pt idx="9">
                  <c:v>40</c:v>
                </c:pt>
                <c:pt idx="10">
                  <c:v>41</c:v>
                </c:pt>
                <c:pt idx="11">
                  <c:v>42</c:v>
                </c:pt>
                <c:pt idx="12">
                  <c:v>43</c:v>
                </c:pt>
                <c:pt idx="13">
                  <c:v>44</c:v>
                </c:pt>
                <c:pt idx="14">
                  <c:v>45</c:v>
                </c:pt>
                <c:pt idx="15">
                  <c:v>46</c:v>
                </c:pt>
                <c:pt idx="16">
                  <c:v>47</c:v>
                </c:pt>
                <c:pt idx="17">
                  <c:v>48</c:v>
                </c:pt>
                <c:pt idx="18">
                  <c:v>49</c:v>
                </c:pt>
                <c:pt idx="19">
                  <c:v>50</c:v>
                </c:pt>
                <c:pt idx="20">
                  <c:v>51</c:v>
                </c:pt>
                <c:pt idx="21">
                  <c:v>52</c:v>
                </c:pt>
                <c:pt idx="22">
                  <c:v>53</c:v>
                </c:pt>
                <c:pt idx="23">
                  <c:v>54</c:v>
                </c:pt>
                <c:pt idx="24">
                  <c:v>55</c:v>
                </c:pt>
                <c:pt idx="25">
                  <c:v>56</c:v>
                </c:pt>
                <c:pt idx="26">
                  <c:v>57</c:v>
                </c:pt>
                <c:pt idx="27">
                  <c:v>58</c:v>
                </c:pt>
                <c:pt idx="28">
                  <c:v>59</c:v>
                </c:pt>
                <c:pt idx="29">
                  <c:v>60</c:v>
                </c:pt>
                <c:pt idx="30">
                  <c:v>61</c:v>
                </c:pt>
                <c:pt idx="31">
                  <c:v>62</c:v>
                </c:pt>
                <c:pt idx="32">
                  <c:v>63</c:v>
                </c:pt>
                <c:pt idx="33">
                  <c:v>64</c:v>
                </c:pt>
                <c:pt idx="34">
                  <c:v>65</c:v>
                </c:pt>
                <c:pt idx="35">
                  <c:v>66</c:v>
                </c:pt>
                <c:pt idx="36">
                  <c:v>67</c:v>
                </c:pt>
                <c:pt idx="37">
                  <c:v>68</c:v>
                </c:pt>
                <c:pt idx="38">
                  <c:v>69</c:v>
                </c:pt>
                <c:pt idx="39">
                  <c:v>70</c:v>
                </c:pt>
                <c:pt idx="40">
                  <c:v>71</c:v>
                </c:pt>
                <c:pt idx="41">
                  <c:v>72</c:v>
                </c:pt>
                <c:pt idx="42">
                  <c:v>73</c:v>
                </c:pt>
                <c:pt idx="43">
                  <c:v>74</c:v>
                </c:pt>
                <c:pt idx="44">
                  <c:v>78</c:v>
                </c:pt>
                <c:pt idx="45">
                  <c:v>80</c:v>
                </c:pt>
                <c:pt idx="46">
                  <c:v>89</c:v>
                </c:pt>
              </c:strCache>
            </c:strRef>
          </c:cat>
          <c:val>
            <c:numRef>
              <c:f>'Pivot Table'!$B$55:$B$102</c:f>
              <c:numCache>
                <c:formatCode>General</c:formatCode>
                <c:ptCount val="47"/>
                <c:pt idx="0">
                  <c:v>17</c:v>
                </c:pt>
                <c:pt idx="1">
                  <c:v>19</c:v>
                </c:pt>
                <c:pt idx="2">
                  <c:v>8</c:v>
                </c:pt>
                <c:pt idx="3">
                  <c:v>12</c:v>
                </c:pt>
                <c:pt idx="4">
                  <c:v>14</c:v>
                </c:pt>
                <c:pt idx="5">
                  <c:v>7</c:v>
                </c:pt>
                <c:pt idx="6">
                  <c:v>4</c:v>
                </c:pt>
                <c:pt idx="7">
                  <c:v>8</c:v>
                </c:pt>
                <c:pt idx="8">
                  <c:v>10</c:v>
                </c:pt>
                <c:pt idx="9">
                  <c:v>24</c:v>
                </c:pt>
                <c:pt idx="10">
                  <c:v>13</c:v>
                </c:pt>
                <c:pt idx="11">
                  <c:v>22</c:v>
                </c:pt>
                <c:pt idx="12">
                  <c:v>17</c:v>
                </c:pt>
                <c:pt idx="13">
                  <c:v>15</c:v>
                </c:pt>
                <c:pt idx="14">
                  <c:v>18</c:v>
                </c:pt>
                <c:pt idx="15">
                  <c:v>12</c:v>
                </c:pt>
                <c:pt idx="16">
                  <c:v>19</c:v>
                </c:pt>
                <c:pt idx="17">
                  <c:v>16</c:v>
                </c:pt>
                <c:pt idx="18">
                  <c:v>15</c:v>
                </c:pt>
                <c:pt idx="19">
                  <c:v>12</c:v>
                </c:pt>
                <c:pt idx="20">
                  <c:v>10</c:v>
                </c:pt>
                <c:pt idx="21">
                  <c:v>10</c:v>
                </c:pt>
                <c:pt idx="22">
                  <c:v>11</c:v>
                </c:pt>
                <c:pt idx="23">
                  <c:v>5</c:v>
                </c:pt>
                <c:pt idx="24">
                  <c:v>13</c:v>
                </c:pt>
                <c:pt idx="25">
                  <c:v>13</c:v>
                </c:pt>
                <c:pt idx="26">
                  <c:v>4</c:v>
                </c:pt>
                <c:pt idx="27">
                  <c:v>8</c:v>
                </c:pt>
                <c:pt idx="28">
                  <c:v>14</c:v>
                </c:pt>
                <c:pt idx="29">
                  <c:v>8</c:v>
                </c:pt>
                <c:pt idx="30">
                  <c:v>5</c:v>
                </c:pt>
                <c:pt idx="31">
                  <c:v>9</c:v>
                </c:pt>
                <c:pt idx="32">
                  <c:v>7</c:v>
                </c:pt>
                <c:pt idx="33">
                  <c:v>7</c:v>
                </c:pt>
                <c:pt idx="34">
                  <c:v>6</c:v>
                </c:pt>
                <c:pt idx="35">
                  <c:v>8</c:v>
                </c:pt>
                <c:pt idx="36">
                  <c:v>8</c:v>
                </c:pt>
                <c:pt idx="37">
                  <c:v>3</c:v>
                </c:pt>
                <c:pt idx="38">
                  <c:v>8</c:v>
                </c:pt>
                <c:pt idx="39">
                  <c:v>3</c:v>
                </c:pt>
                <c:pt idx="40">
                  <c:v>1</c:v>
                </c:pt>
                <c:pt idx="42">
                  <c:v>2</c:v>
                </c:pt>
                <c:pt idx="44">
                  <c:v>1</c:v>
                </c:pt>
                <c:pt idx="45">
                  <c:v>1</c:v>
                </c:pt>
                <c:pt idx="46">
                  <c:v>1</c:v>
                </c:pt>
              </c:numCache>
            </c:numRef>
          </c:val>
          <c:extLst>
            <c:ext xmlns:c16="http://schemas.microsoft.com/office/drawing/2014/chart" uri="{C3380CC4-5D6E-409C-BE32-E72D297353CC}">
              <c16:uniqueId val="{00000000-F732-4CBC-8F62-6BAF405A0E01}"/>
            </c:ext>
          </c:extLst>
        </c:ser>
        <c:ser>
          <c:idx val="1"/>
          <c:order val="1"/>
          <c:tx>
            <c:strRef>
              <c:f>'Pivot Table'!$C$53:$C$54</c:f>
              <c:strCache>
                <c:ptCount val="1"/>
                <c:pt idx="0">
                  <c:v>Yes</c:v>
                </c:pt>
              </c:strCache>
            </c:strRef>
          </c:tx>
          <c:spPr>
            <a:solidFill>
              <a:schemeClr val="accent2"/>
            </a:solidFill>
            <a:ln>
              <a:noFill/>
            </a:ln>
            <a:effectLst/>
            <a:sp3d/>
          </c:spPr>
          <c:invertIfNegative val="0"/>
          <c:cat>
            <c:strRef>
              <c:f>'Pivot Table'!$A$55:$A$102</c:f>
              <c:strCache>
                <c:ptCount val="47"/>
                <c:pt idx="0">
                  <c:v>31</c:v>
                </c:pt>
                <c:pt idx="1">
                  <c:v>32</c:v>
                </c:pt>
                <c:pt idx="2">
                  <c:v>33</c:v>
                </c:pt>
                <c:pt idx="3">
                  <c:v>34</c:v>
                </c:pt>
                <c:pt idx="4">
                  <c:v>35</c:v>
                </c:pt>
                <c:pt idx="5">
                  <c:v>36</c:v>
                </c:pt>
                <c:pt idx="6">
                  <c:v>37</c:v>
                </c:pt>
                <c:pt idx="7">
                  <c:v>38</c:v>
                </c:pt>
                <c:pt idx="8">
                  <c:v>39</c:v>
                </c:pt>
                <c:pt idx="9">
                  <c:v>40</c:v>
                </c:pt>
                <c:pt idx="10">
                  <c:v>41</c:v>
                </c:pt>
                <c:pt idx="11">
                  <c:v>42</c:v>
                </c:pt>
                <c:pt idx="12">
                  <c:v>43</c:v>
                </c:pt>
                <c:pt idx="13">
                  <c:v>44</c:v>
                </c:pt>
                <c:pt idx="14">
                  <c:v>45</c:v>
                </c:pt>
                <c:pt idx="15">
                  <c:v>46</c:v>
                </c:pt>
                <c:pt idx="16">
                  <c:v>47</c:v>
                </c:pt>
                <c:pt idx="17">
                  <c:v>48</c:v>
                </c:pt>
                <c:pt idx="18">
                  <c:v>49</c:v>
                </c:pt>
                <c:pt idx="19">
                  <c:v>50</c:v>
                </c:pt>
                <c:pt idx="20">
                  <c:v>51</c:v>
                </c:pt>
                <c:pt idx="21">
                  <c:v>52</c:v>
                </c:pt>
                <c:pt idx="22">
                  <c:v>53</c:v>
                </c:pt>
                <c:pt idx="23">
                  <c:v>54</c:v>
                </c:pt>
                <c:pt idx="24">
                  <c:v>55</c:v>
                </c:pt>
                <c:pt idx="25">
                  <c:v>56</c:v>
                </c:pt>
                <c:pt idx="26">
                  <c:v>57</c:v>
                </c:pt>
                <c:pt idx="27">
                  <c:v>58</c:v>
                </c:pt>
                <c:pt idx="28">
                  <c:v>59</c:v>
                </c:pt>
                <c:pt idx="29">
                  <c:v>60</c:v>
                </c:pt>
                <c:pt idx="30">
                  <c:v>61</c:v>
                </c:pt>
                <c:pt idx="31">
                  <c:v>62</c:v>
                </c:pt>
                <c:pt idx="32">
                  <c:v>63</c:v>
                </c:pt>
                <c:pt idx="33">
                  <c:v>64</c:v>
                </c:pt>
                <c:pt idx="34">
                  <c:v>65</c:v>
                </c:pt>
                <c:pt idx="35">
                  <c:v>66</c:v>
                </c:pt>
                <c:pt idx="36">
                  <c:v>67</c:v>
                </c:pt>
                <c:pt idx="37">
                  <c:v>68</c:v>
                </c:pt>
                <c:pt idx="38">
                  <c:v>69</c:v>
                </c:pt>
                <c:pt idx="39">
                  <c:v>70</c:v>
                </c:pt>
                <c:pt idx="40">
                  <c:v>71</c:v>
                </c:pt>
                <c:pt idx="41">
                  <c:v>72</c:v>
                </c:pt>
                <c:pt idx="42">
                  <c:v>73</c:v>
                </c:pt>
                <c:pt idx="43">
                  <c:v>74</c:v>
                </c:pt>
                <c:pt idx="44">
                  <c:v>78</c:v>
                </c:pt>
                <c:pt idx="45">
                  <c:v>80</c:v>
                </c:pt>
                <c:pt idx="46">
                  <c:v>89</c:v>
                </c:pt>
              </c:strCache>
            </c:strRef>
          </c:cat>
          <c:val>
            <c:numRef>
              <c:f>'Pivot Table'!$C$55:$C$102</c:f>
              <c:numCache>
                <c:formatCode>General</c:formatCode>
                <c:ptCount val="47"/>
                <c:pt idx="0">
                  <c:v>8</c:v>
                </c:pt>
                <c:pt idx="1">
                  <c:v>14</c:v>
                </c:pt>
                <c:pt idx="2">
                  <c:v>13</c:v>
                </c:pt>
                <c:pt idx="3">
                  <c:v>19</c:v>
                </c:pt>
                <c:pt idx="4">
                  <c:v>22</c:v>
                </c:pt>
                <c:pt idx="5">
                  <c:v>30</c:v>
                </c:pt>
                <c:pt idx="6">
                  <c:v>28</c:v>
                </c:pt>
                <c:pt idx="7">
                  <c:v>29</c:v>
                </c:pt>
                <c:pt idx="8">
                  <c:v>12</c:v>
                </c:pt>
                <c:pt idx="9">
                  <c:v>18</c:v>
                </c:pt>
                <c:pt idx="10">
                  <c:v>15</c:v>
                </c:pt>
                <c:pt idx="11">
                  <c:v>12</c:v>
                </c:pt>
                <c:pt idx="12">
                  <c:v>19</c:v>
                </c:pt>
                <c:pt idx="13">
                  <c:v>12</c:v>
                </c:pt>
                <c:pt idx="14">
                  <c:v>13</c:v>
                </c:pt>
                <c:pt idx="15">
                  <c:v>15</c:v>
                </c:pt>
                <c:pt idx="16">
                  <c:v>20</c:v>
                </c:pt>
                <c:pt idx="17">
                  <c:v>13</c:v>
                </c:pt>
                <c:pt idx="18">
                  <c:v>8</c:v>
                </c:pt>
                <c:pt idx="19">
                  <c:v>12</c:v>
                </c:pt>
                <c:pt idx="20">
                  <c:v>12</c:v>
                </c:pt>
                <c:pt idx="21">
                  <c:v>15</c:v>
                </c:pt>
                <c:pt idx="22">
                  <c:v>13</c:v>
                </c:pt>
                <c:pt idx="23">
                  <c:v>11</c:v>
                </c:pt>
                <c:pt idx="24">
                  <c:v>5</c:v>
                </c:pt>
                <c:pt idx="25">
                  <c:v>3</c:v>
                </c:pt>
                <c:pt idx="26">
                  <c:v>4</c:v>
                </c:pt>
                <c:pt idx="27">
                  <c:v>4</c:v>
                </c:pt>
                <c:pt idx="28">
                  <c:v>6</c:v>
                </c:pt>
                <c:pt idx="29">
                  <c:v>7</c:v>
                </c:pt>
                <c:pt idx="30">
                  <c:v>4</c:v>
                </c:pt>
                <c:pt idx="31">
                  <c:v>4</c:v>
                </c:pt>
                <c:pt idx="32">
                  <c:v>2</c:v>
                </c:pt>
                <c:pt idx="33">
                  <c:v>3</c:v>
                </c:pt>
                <c:pt idx="34">
                  <c:v>3</c:v>
                </c:pt>
                <c:pt idx="35">
                  <c:v>6</c:v>
                </c:pt>
                <c:pt idx="36">
                  <c:v>2</c:v>
                </c:pt>
                <c:pt idx="39">
                  <c:v>1</c:v>
                </c:pt>
                <c:pt idx="41">
                  <c:v>1</c:v>
                </c:pt>
                <c:pt idx="42">
                  <c:v>2</c:v>
                </c:pt>
                <c:pt idx="43">
                  <c:v>1</c:v>
                </c:pt>
                <c:pt idx="44">
                  <c:v>1</c:v>
                </c:pt>
              </c:numCache>
            </c:numRef>
          </c:val>
          <c:extLst>
            <c:ext xmlns:c16="http://schemas.microsoft.com/office/drawing/2014/chart" uri="{C3380CC4-5D6E-409C-BE32-E72D297353CC}">
              <c16:uniqueId val="{00000001-F732-4CBC-8F62-6BAF405A0E01}"/>
            </c:ext>
          </c:extLst>
        </c:ser>
        <c:dLbls>
          <c:showLegendKey val="0"/>
          <c:showVal val="0"/>
          <c:showCatName val="0"/>
          <c:showSerName val="0"/>
          <c:showPercent val="0"/>
          <c:showBubbleSize val="0"/>
        </c:dLbls>
        <c:gapWidth val="150"/>
        <c:shape val="box"/>
        <c:axId val="1994349504"/>
        <c:axId val="1994352000"/>
        <c:axId val="0"/>
      </c:bar3DChart>
      <c:catAx>
        <c:axId val="1994349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352000"/>
        <c:crosses val="autoZero"/>
        <c:auto val="1"/>
        <c:lblAlgn val="ctr"/>
        <c:lblOffset val="100"/>
        <c:noMultiLvlLbl val="0"/>
      </c:catAx>
      <c:valAx>
        <c:axId val="199435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34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85725</xdr:colOff>
      <xdr:row>4</xdr:row>
      <xdr:rowOff>28575</xdr:rowOff>
    </xdr:from>
    <xdr:to>
      <xdr:col>9</xdr:col>
      <xdr:colOff>95250</xdr:colOff>
      <xdr:row>18</xdr:row>
      <xdr:rowOff>19050</xdr:rowOff>
    </xdr:to>
    <xdr:graphicFrame macro="">
      <xdr:nvGraphicFramePr>
        <xdr:cNvPr id="2" name="Chart 1">
          <a:extLst>
            <a:ext uri="{FF2B5EF4-FFF2-40B4-BE49-F238E27FC236}">
              <a16:creationId xmlns:a16="http://schemas.microsoft.com/office/drawing/2014/main" id="{A0C54CD9-9B85-403E-90A9-B46AEF4A0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18</xdr:row>
      <xdr:rowOff>28575</xdr:rowOff>
    </xdr:from>
    <xdr:to>
      <xdr:col>15</xdr:col>
      <xdr:colOff>76199</xdr:colOff>
      <xdr:row>32</xdr:row>
      <xdr:rowOff>0</xdr:rowOff>
    </xdr:to>
    <xdr:graphicFrame macro="">
      <xdr:nvGraphicFramePr>
        <xdr:cNvPr id="3" name="Chart 2">
          <a:extLst>
            <a:ext uri="{FF2B5EF4-FFF2-40B4-BE49-F238E27FC236}">
              <a16:creationId xmlns:a16="http://schemas.microsoft.com/office/drawing/2014/main" id="{1A4D2C2B-3D91-44CA-A3CC-DE0591DA1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95250</xdr:colOff>
      <xdr:row>4</xdr:row>
      <xdr:rowOff>19049</xdr:rowOff>
    </xdr:from>
    <xdr:to>
      <xdr:col>15</xdr:col>
      <xdr:colOff>76200</xdr:colOff>
      <xdr:row>18</xdr:row>
      <xdr:rowOff>28574</xdr:rowOff>
    </xdr:to>
    <xdr:graphicFrame macro="">
      <xdr:nvGraphicFramePr>
        <xdr:cNvPr id="4" name="Chart 3">
          <a:extLst>
            <a:ext uri="{FF2B5EF4-FFF2-40B4-BE49-F238E27FC236}">
              <a16:creationId xmlns:a16="http://schemas.microsoft.com/office/drawing/2014/main" id="{458C871D-D631-4A40-8A09-DBB01B5A8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85725</xdr:colOff>
      <xdr:row>32</xdr:row>
      <xdr:rowOff>9525</xdr:rowOff>
    </xdr:from>
    <xdr:to>
      <xdr:col>15</xdr:col>
      <xdr:colOff>66674</xdr:colOff>
      <xdr:row>46</xdr:row>
      <xdr:rowOff>66675</xdr:rowOff>
    </xdr:to>
    <xdr:graphicFrame macro="">
      <xdr:nvGraphicFramePr>
        <xdr:cNvPr id="5" name="Chart 4">
          <a:extLst>
            <a:ext uri="{FF2B5EF4-FFF2-40B4-BE49-F238E27FC236}">
              <a16:creationId xmlns:a16="http://schemas.microsoft.com/office/drawing/2014/main" id="{C36DCCF9-0088-40D6-AC07-60800A264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47625</xdr:colOff>
      <xdr:row>4</xdr:row>
      <xdr:rowOff>9525</xdr:rowOff>
    </xdr:from>
    <xdr:to>
      <xdr:col>3</xdr:col>
      <xdr:colOff>47625</xdr:colOff>
      <xdr:row>9</xdr:row>
      <xdr:rowOff>47625</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7531885F-6A1B-4301-9048-B5196F3B2CD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7625" y="771525"/>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9</xdr:row>
      <xdr:rowOff>47625</xdr:rowOff>
    </xdr:from>
    <xdr:to>
      <xdr:col>3</xdr:col>
      <xdr:colOff>57150</xdr:colOff>
      <xdr:row>14</xdr:row>
      <xdr:rowOff>133350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317702CB-C2A9-47AD-83ED-3E0CB3B0F2A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7150" y="1762125"/>
              <a:ext cx="1828800"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14</xdr:row>
      <xdr:rowOff>133350</xdr:rowOff>
    </xdr:from>
    <xdr:to>
      <xdr:col>3</xdr:col>
      <xdr:colOff>47625</xdr:colOff>
      <xdr:row>24</xdr:row>
      <xdr:rowOff>66675</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8F8B73E1-BFC0-4891-A8C0-D3FBCE0C6FD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7625" y="2800350"/>
              <a:ext cx="1828800" cy="1838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133350</xdr:colOff>
      <xdr:row>13</xdr:row>
      <xdr:rowOff>95250</xdr:rowOff>
    </xdr:from>
    <xdr:to>
      <xdr:col>18</xdr:col>
      <xdr:colOff>133350</xdr:colOff>
      <xdr:row>22</xdr:row>
      <xdr:rowOff>85725</xdr:rowOff>
    </xdr:to>
    <mc:AlternateContent xmlns:mc="http://schemas.openxmlformats.org/markup-compatibility/2006">
      <mc:Choice xmlns:a14="http://schemas.microsoft.com/office/drawing/2010/main" Requires="a14">
        <xdr:graphicFrame macro="">
          <xdr:nvGraphicFramePr>
            <xdr:cNvPr id="9" name="Occupation">
              <a:extLst>
                <a:ext uri="{FF2B5EF4-FFF2-40B4-BE49-F238E27FC236}">
                  <a16:creationId xmlns:a16="http://schemas.microsoft.com/office/drawing/2014/main" id="{B1894B58-DD2E-4297-81B9-1A604B1D1F2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9277350" y="2571750"/>
              <a:ext cx="1828800"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133350</xdr:colOff>
      <xdr:row>6</xdr:row>
      <xdr:rowOff>133351</xdr:rowOff>
    </xdr:from>
    <xdr:to>
      <xdr:col>18</xdr:col>
      <xdr:colOff>133350</xdr:colOff>
      <xdr:row>13</xdr:row>
      <xdr:rowOff>66675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A171A4AC-EB15-4EA2-9A6A-7A1D414DD2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277350" y="1276351"/>
              <a:ext cx="1828800" cy="1266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114300</xdr:colOff>
      <xdr:row>0</xdr:row>
      <xdr:rowOff>47625</xdr:rowOff>
    </xdr:from>
    <xdr:to>
      <xdr:col>18</xdr:col>
      <xdr:colOff>114300</xdr:colOff>
      <xdr:row>6</xdr:row>
      <xdr:rowOff>114300</xdr:rowOff>
    </xdr:to>
    <mc:AlternateContent xmlns:mc="http://schemas.openxmlformats.org/markup-compatibility/2006">
      <mc:Choice xmlns:a14="http://schemas.microsoft.com/office/drawing/2010/main" Requires="a14">
        <xdr:graphicFrame macro="">
          <xdr:nvGraphicFramePr>
            <xdr:cNvPr id="11" name="Age Bracket">
              <a:extLst>
                <a:ext uri="{FF2B5EF4-FFF2-40B4-BE49-F238E27FC236}">
                  <a16:creationId xmlns:a16="http://schemas.microsoft.com/office/drawing/2014/main" id="{C0399C14-BC18-42A5-B7CA-C5CED90F30EF}"/>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dr:sp macro="" textlink="">
          <xdr:nvSpPr>
            <xdr:cNvPr id="0" name=""/>
            <xdr:cNvSpPr>
              <a:spLocks noTextEdit="1"/>
            </xdr:cNvSpPr>
          </xdr:nvSpPr>
          <xdr:spPr>
            <a:xfrm>
              <a:off x="9258300" y="47625"/>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209549</xdr:colOff>
      <xdr:row>0</xdr:row>
      <xdr:rowOff>0</xdr:rowOff>
    </xdr:from>
    <xdr:to>
      <xdr:col>12</xdr:col>
      <xdr:colOff>219074</xdr:colOff>
      <xdr:row>13</xdr:row>
      <xdr:rowOff>180975</xdr:rowOff>
    </xdr:to>
    <xdr:graphicFrame macro="">
      <xdr:nvGraphicFramePr>
        <xdr:cNvPr id="2" name="Chart 1">
          <a:extLst>
            <a:ext uri="{FF2B5EF4-FFF2-40B4-BE49-F238E27FC236}">
              <a16:creationId xmlns:a16="http://schemas.microsoft.com/office/drawing/2014/main" id="{5C84806A-2C7C-4CC5-94FE-74ECE3111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15</xdr:row>
      <xdr:rowOff>180975</xdr:rowOff>
    </xdr:from>
    <xdr:to>
      <xdr:col>12</xdr:col>
      <xdr:colOff>285750</xdr:colOff>
      <xdr:row>30</xdr:row>
      <xdr:rowOff>66675</xdr:rowOff>
    </xdr:to>
    <xdr:graphicFrame macro="">
      <xdr:nvGraphicFramePr>
        <xdr:cNvPr id="3" name="Chart 2">
          <a:extLst>
            <a:ext uri="{FF2B5EF4-FFF2-40B4-BE49-F238E27FC236}">
              <a16:creationId xmlns:a16="http://schemas.microsoft.com/office/drawing/2014/main" id="{CBEECBF8-4325-40FA-97CD-49A5EF0F6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33</xdr:row>
      <xdr:rowOff>19050</xdr:rowOff>
    </xdr:from>
    <xdr:to>
      <xdr:col>12</xdr:col>
      <xdr:colOff>314325</xdr:colOff>
      <xdr:row>47</xdr:row>
      <xdr:rowOff>95250</xdr:rowOff>
    </xdr:to>
    <xdr:graphicFrame macro="">
      <xdr:nvGraphicFramePr>
        <xdr:cNvPr id="4" name="Chart 3">
          <a:extLst>
            <a:ext uri="{FF2B5EF4-FFF2-40B4-BE49-F238E27FC236}">
              <a16:creationId xmlns:a16="http://schemas.microsoft.com/office/drawing/2014/main" id="{1D7A1E76-42D0-4ECF-A9CB-DB5DC569A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9525</xdr:colOff>
      <xdr:row>52</xdr:row>
      <xdr:rowOff>9525</xdr:rowOff>
    </xdr:from>
    <xdr:to>
      <xdr:col>12</xdr:col>
      <xdr:colOff>314325</xdr:colOff>
      <xdr:row>66</xdr:row>
      <xdr:rowOff>85725</xdr:rowOff>
    </xdr:to>
    <xdr:graphicFrame macro="">
      <xdr:nvGraphicFramePr>
        <xdr:cNvPr id="5" name="Chart 4">
          <a:extLst>
            <a:ext uri="{FF2B5EF4-FFF2-40B4-BE49-F238E27FC236}">
              <a16:creationId xmlns:a16="http://schemas.microsoft.com/office/drawing/2014/main" id="{9DBF0138-4B83-49EC-957F-29A8605BD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S PC" refreshedDate="46129.655571990741" createdVersion="7" refreshedVersion="7" minRefreshableVersion="3" recordCount="1000" xr:uid="{6285CE87-7F6B-454C-92F1-1F52C6B32E9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Farther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Youth"/>
      </sharedItems>
    </cacheField>
    <cacheField name="Purchased Bike" numFmtId="0">
      <sharedItems count="2">
        <s v="No"/>
        <s v="Yes"/>
      </sharedItems>
    </cacheField>
  </cacheFields>
  <extLst>
    <ext xmlns:x14="http://schemas.microsoft.com/office/spreadsheetml/2009/9/main" uri="{725AE2AE-9491-48be-B2B4-4EB974FC3084}">
      <x14:pivotCacheDefinition pivotCacheId="1065108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0"/>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0"/>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0"/>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0"/>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0"/>
    <x v="1"/>
  </r>
  <r>
    <n v="12212"/>
    <x v="0"/>
    <x v="0"/>
    <n v="10000"/>
    <n v="0"/>
    <x v="4"/>
    <x v="3"/>
    <s v="Yes"/>
    <n v="0"/>
    <x v="0"/>
    <x v="0"/>
    <x v="34"/>
    <x v="0"/>
    <x v="1"/>
  </r>
  <r>
    <n v="25529"/>
    <x v="1"/>
    <x v="1"/>
    <n v="10000"/>
    <n v="1"/>
    <x v="4"/>
    <x v="3"/>
    <s v="Yes"/>
    <n v="0"/>
    <x v="0"/>
    <x v="0"/>
    <x v="20"/>
    <x v="0"/>
    <x v="0"/>
  </r>
  <r>
    <n v="22170"/>
    <x v="0"/>
    <x v="0"/>
    <n v="30000"/>
    <n v="3"/>
    <x v="1"/>
    <x v="1"/>
    <s v="No"/>
    <n v="2"/>
    <x v="3"/>
    <x v="1"/>
    <x v="10"/>
    <x v="0"/>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0"/>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0"/>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0"/>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0"/>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0"/>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0"/>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0"/>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0"/>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0"/>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0"/>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0"/>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0"/>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03CBF0-9C46-439B-8350-E7355B7B8A02}" name="PivotTable4"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3:D102"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0"/>
        <item x="1"/>
        <item h="1" x="2"/>
        <item t="default"/>
      </items>
    </pivotField>
    <pivotField axis="axisCol" dataField="1" showAll="0">
      <items count="3">
        <item x="0"/>
        <item x="1"/>
        <item t="default"/>
      </items>
    </pivotField>
  </pivotFields>
  <rowFields count="1">
    <field x="11"/>
  </rowFields>
  <rowItems count="48">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6897BB-0724-4369-B8CC-B17A434478C4}" name="PivotTable3"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5:D39"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0"/>
        <item x="1"/>
        <item h="1" x="2"/>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2" count="1" selected="0">
            <x v="0"/>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0"/>
          </reference>
        </references>
      </pivotArea>
    </chartFormat>
    <chartFormat chart="2" format="12">
      <pivotArea type="data" outline="0" fieldPosition="0">
        <references count="3">
          <reference field="4294967294" count="1" selected="0">
            <x v="0"/>
          </reference>
          <reference field="12" count="1" selected="0">
            <x v="0"/>
          </reference>
          <reference field="13" count="1" selected="0">
            <x v="0"/>
          </reference>
        </references>
      </pivotArea>
    </chartFormat>
    <chartFormat chart="2" format="13">
      <pivotArea type="data" outline="0" fieldPosition="0">
        <references count="3">
          <reference field="4294967294" count="1" selected="0">
            <x v="0"/>
          </reference>
          <reference field="12" count="1" selected="0">
            <x v="1"/>
          </reference>
          <reference field="13" count="1" selected="0">
            <x v="0"/>
          </reference>
        </references>
      </pivotArea>
    </chartFormat>
    <chartFormat chart="2" format="14">
      <pivotArea type="data" outline="0" fieldPosition="0">
        <references count="3">
          <reference field="4294967294" count="1" selected="0">
            <x v="0"/>
          </reference>
          <reference field="12" count="1" selected="0">
            <x v="2"/>
          </reference>
          <reference field="13" count="1" selected="0">
            <x v="0"/>
          </reference>
        </references>
      </pivotArea>
    </chartFormat>
    <chartFormat chart="2" format="15" series="1">
      <pivotArea type="data" outline="0" fieldPosition="0">
        <references count="2">
          <reference field="4294967294" count="1" selected="0">
            <x v="0"/>
          </reference>
          <reference field="13" count="1" selected="0">
            <x v="1"/>
          </reference>
        </references>
      </pivotArea>
    </chartFormat>
    <chartFormat chart="2" format="16">
      <pivotArea type="data" outline="0" fieldPosition="0">
        <references count="3">
          <reference field="4294967294" count="1" selected="0">
            <x v="0"/>
          </reference>
          <reference field="12" count="1" selected="0">
            <x v="0"/>
          </reference>
          <reference field="13" count="1" selected="0">
            <x v="1"/>
          </reference>
        </references>
      </pivotArea>
    </chartFormat>
    <chartFormat chart="2" format="17">
      <pivotArea type="data" outline="0" fieldPosition="0">
        <references count="3">
          <reference field="4294967294" count="1" selected="0">
            <x v="0"/>
          </reference>
          <reference field="12" count="1" selected="0">
            <x v="1"/>
          </reference>
          <reference field="13" count="1" selected="0">
            <x v="1"/>
          </reference>
        </references>
      </pivotArea>
    </chartFormat>
    <chartFormat chart="2" format="18">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7D01EE-0A81-4D80-9E76-DA19A6BD71B2}" name="PivotTable2"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7:D24"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items count="4">
        <item x="0"/>
        <item x="1"/>
        <item h="1" x="2"/>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279860-5ABD-42AA-BC8E-49EB05348CC4}" name="PivotTable1"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4">
        <item x="0"/>
        <item x="1"/>
        <item h="1" x="2"/>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2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16F1606-898A-4DF4-9DB3-E7BED23D5737}" sourceName="Marital Status">
  <pivotTables>
    <pivotTable tabId="4" name="PivotTable1"/>
    <pivotTable tabId="4" name="PivotTable2"/>
    <pivotTable tabId="4" name="PivotTable3"/>
    <pivotTable tabId="4" name="PivotTable4"/>
  </pivotTables>
  <data>
    <tabular pivotCacheId="10651082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F977AB1-6283-453E-A10C-982A5A133839}" sourceName="Gender">
  <pivotTables>
    <pivotTable tabId="4" name="PivotTable3"/>
    <pivotTable tabId="4" name="PivotTable1"/>
    <pivotTable tabId="4" name="PivotTable2"/>
    <pivotTable tabId="4" name="PivotTable4"/>
  </pivotTables>
  <data>
    <tabular pivotCacheId="106510828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BADADB2-69A6-4697-990D-13A87A656BFE}" sourceName="Education">
  <pivotTables>
    <pivotTable tabId="4" name="PivotTable3"/>
    <pivotTable tabId="4" name="PivotTable1"/>
    <pivotTable tabId="4" name="PivotTable2"/>
    <pivotTable tabId="4" name="PivotTable4"/>
  </pivotTables>
  <data>
    <tabular pivotCacheId="1065108287">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0E085A91-0642-4329-83DE-2933271B4147}" sourceName="Occupation">
  <pivotTables>
    <pivotTable tabId="4" name="PivotTable3"/>
    <pivotTable tabId="4" name="PivotTable1"/>
    <pivotTable tabId="4" name="PivotTable2"/>
    <pivotTable tabId="4" name="PivotTable4"/>
  </pivotTables>
  <data>
    <tabular pivotCacheId="1065108287">
      <items count="5">
        <i x="1" s="1"/>
        <i x="4"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B40260-3615-4A78-BB0B-9D92A3A3F1E0}" sourceName="Region">
  <pivotTables>
    <pivotTable tabId="4" name="PivotTable3"/>
    <pivotTable tabId="4" name="PivotTable1"/>
    <pivotTable tabId="4" name="PivotTable2"/>
    <pivotTable tabId="4" name="PivotTable4"/>
  </pivotTables>
  <data>
    <tabular pivotCacheId="1065108287">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31AF7510-719C-4A60-9CB4-57333AD2A388}" sourceName="Age Bracket">
  <pivotTables>
    <pivotTable tabId="4" name="PivotTable3"/>
    <pivotTable tabId="4" name="PivotTable1"/>
    <pivotTable tabId="4" name="PivotTable2"/>
    <pivotTable tabId="4" name="PivotTable4"/>
  </pivotTables>
  <data>
    <tabular pivotCacheId="1065108287">
      <items count="3">
        <i x="0" s="1"/>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F12D82A-4399-4F6A-AA38-5AAFF410A952}" cache="Slicer_Marital_Status" caption="Marital Status" rowHeight="241300"/>
  <slicer name="Gender" xr10:uid="{D96E8DE3-3FF8-4417-AD72-489131993BAC}" cache="Slicer_Gender" caption="Gender" rowHeight="241300"/>
  <slicer name="Education" xr10:uid="{53360129-BC24-4667-9ED0-F1669686E193}" cache="Slicer_Education" caption="Education" rowHeight="241300"/>
  <slicer name="Occupation" xr10:uid="{C7CE04E3-1C17-4A99-879A-3AFEE05FB74C}" cache="Slicer_Occupation" caption="Occupation" rowHeight="241300"/>
  <slicer name="Region" xr10:uid="{B2DC68B4-5466-4EA2-955D-32C6F3037464}" cache="Slicer_Region" caption="Region" rowHeight="241300"/>
  <slicer name="Age Bracket" xr10:uid="{F7416FD5-0620-4648-90C7-6646E1122ED5}" cache="Slicer_Age_Bracket" caption="Age Bracke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G1006"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D2EE1-690E-4F91-A033-63C29A0676CB}">
  <dimension ref="A1:N1001"/>
  <sheetViews>
    <sheetView topLeftCell="A976" zoomScale="85" zoomScaleNormal="85" workbookViewId="0">
      <selection activeCell="J976" sqref="J1:J1048576"/>
    </sheetView>
  </sheetViews>
  <sheetFormatPr defaultRowHeight="15" x14ac:dyDescent="0.25"/>
  <cols>
    <col min="2" max="2" width="14.28515625" bestFit="1" customWidth="1"/>
    <col min="4" max="4" width="12.5703125" style="1" bestFit="1" customWidth="1"/>
    <col min="6" max="6" width="17.7109375" bestFit="1" customWidth="1"/>
    <col min="13" max="13" width="13.85546875" bestFit="1" customWidth="1"/>
  </cols>
  <sheetData>
    <row r="1" spans="1:14" s="3" customFormat="1" x14ac:dyDescent="0.25">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25">
      <c r="A2">
        <v>12496</v>
      </c>
      <c r="B2" t="s">
        <v>36</v>
      </c>
      <c r="C2" t="s">
        <v>39</v>
      </c>
      <c r="D2" s="1">
        <v>40000</v>
      </c>
      <c r="E2">
        <v>1</v>
      </c>
      <c r="F2" t="s">
        <v>13</v>
      </c>
      <c r="G2" t="s">
        <v>14</v>
      </c>
      <c r="H2" t="s">
        <v>15</v>
      </c>
      <c r="I2">
        <v>0</v>
      </c>
      <c r="J2" t="s">
        <v>16</v>
      </c>
      <c r="K2" t="s">
        <v>17</v>
      </c>
      <c r="L2">
        <v>42</v>
      </c>
      <c r="M2" t="str">
        <f>IF(L2&gt;55, "Old",IF(L2&gt;=31,"Middle Age",IF(L2&lt;31,"Youth","Invalid")))</f>
        <v>Middle Age</v>
      </c>
      <c r="N2" t="s">
        <v>18</v>
      </c>
    </row>
    <row r="3" spans="1:14" x14ac:dyDescent="0.25">
      <c r="A3">
        <v>24107</v>
      </c>
      <c r="B3" t="s">
        <v>36</v>
      </c>
      <c r="C3" t="s">
        <v>38</v>
      </c>
      <c r="D3" s="1">
        <v>30000</v>
      </c>
      <c r="E3">
        <v>3</v>
      </c>
      <c r="F3" t="s">
        <v>19</v>
      </c>
      <c r="G3" t="s">
        <v>20</v>
      </c>
      <c r="H3" t="s">
        <v>15</v>
      </c>
      <c r="I3">
        <v>1</v>
      </c>
      <c r="J3" t="s">
        <v>16</v>
      </c>
      <c r="K3" t="s">
        <v>17</v>
      </c>
      <c r="L3">
        <v>43</v>
      </c>
      <c r="M3" t="str">
        <f t="shared" ref="M3:M66" si="0">IF(L3&gt;55, "Old",IF(L3&gt;=31,"Middle Age",IF(L3&lt;31,"Youth","Invalid")))</f>
        <v>Middle Age</v>
      </c>
      <c r="N3" t="s">
        <v>18</v>
      </c>
    </row>
    <row r="4" spans="1:14" x14ac:dyDescent="0.25">
      <c r="A4">
        <v>14177</v>
      </c>
      <c r="B4" t="s">
        <v>36</v>
      </c>
      <c r="C4" t="s">
        <v>38</v>
      </c>
      <c r="D4" s="1">
        <v>80000</v>
      </c>
      <c r="E4">
        <v>5</v>
      </c>
      <c r="F4" t="s">
        <v>19</v>
      </c>
      <c r="G4" t="s">
        <v>21</v>
      </c>
      <c r="H4" t="s">
        <v>18</v>
      </c>
      <c r="I4">
        <v>2</v>
      </c>
      <c r="J4" t="s">
        <v>22</v>
      </c>
      <c r="K4" t="s">
        <v>17</v>
      </c>
      <c r="L4">
        <v>60</v>
      </c>
      <c r="M4" t="str">
        <f t="shared" si="0"/>
        <v>Old</v>
      </c>
      <c r="N4" t="s">
        <v>18</v>
      </c>
    </row>
    <row r="5" spans="1:14" x14ac:dyDescent="0.25">
      <c r="A5">
        <v>24381</v>
      </c>
      <c r="B5" t="s">
        <v>37</v>
      </c>
      <c r="C5" t="s">
        <v>38</v>
      </c>
      <c r="D5" s="1">
        <v>70000</v>
      </c>
      <c r="E5">
        <v>0</v>
      </c>
      <c r="F5" t="s">
        <v>13</v>
      </c>
      <c r="G5" t="s">
        <v>21</v>
      </c>
      <c r="H5" t="s">
        <v>15</v>
      </c>
      <c r="I5">
        <v>1</v>
      </c>
      <c r="J5" t="s">
        <v>23</v>
      </c>
      <c r="K5" t="s">
        <v>24</v>
      </c>
      <c r="L5">
        <v>41</v>
      </c>
      <c r="M5" t="str">
        <f t="shared" si="0"/>
        <v>Middle Age</v>
      </c>
      <c r="N5" t="s">
        <v>15</v>
      </c>
    </row>
    <row r="6" spans="1:14" x14ac:dyDescent="0.25">
      <c r="A6">
        <v>25597</v>
      </c>
      <c r="B6" t="s">
        <v>37</v>
      </c>
      <c r="C6" t="s">
        <v>38</v>
      </c>
      <c r="D6" s="1">
        <v>30000</v>
      </c>
      <c r="E6">
        <v>0</v>
      </c>
      <c r="F6" t="s">
        <v>13</v>
      </c>
      <c r="G6" t="s">
        <v>20</v>
      </c>
      <c r="H6" t="s">
        <v>18</v>
      </c>
      <c r="I6">
        <v>0</v>
      </c>
      <c r="J6" t="s">
        <v>16</v>
      </c>
      <c r="K6" t="s">
        <v>17</v>
      </c>
      <c r="L6">
        <v>36</v>
      </c>
      <c r="M6" t="str">
        <f t="shared" si="0"/>
        <v>Middle Age</v>
      </c>
      <c r="N6" t="s">
        <v>15</v>
      </c>
    </row>
    <row r="7" spans="1:14" x14ac:dyDescent="0.25">
      <c r="A7">
        <v>13507</v>
      </c>
      <c r="B7" t="s">
        <v>36</v>
      </c>
      <c r="C7" t="s">
        <v>39</v>
      </c>
      <c r="D7" s="1">
        <v>10000</v>
      </c>
      <c r="E7">
        <v>2</v>
      </c>
      <c r="F7" t="s">
        <v>19</v>
      </c>
      <c r="G7" t="s">
        <v>25</v>
      </c>
      <c r="H7" t="s">
        <v>15</v>
      </c>
      <c r="I7">
        <v>0</v>
      </c>
      <c r="J7" t="s">
        <v>26</v>
      </c>
      <c r="K7" t="s">
        <v>17</v>
      </c>
      <c r="L7">
        <v>50</v>
      </c>
      <c r="M7" t="str">
        <f t="shared" si="0"/>
        <v>Middle Age</v>
      </c>
      <c r="N7" t="s">
        <v>18</v>
      </c>
    </row>
    <row r="8" spans="1:14" x14ac:dyDescent="0.25">
      <c r="A8">
        <v>27974</v>
      </c>
      <c r="B8" t="s">
        <v>37</v>
      </c>
      <c r="C8" t="s">
        <v>38</v>
      </c>
      <c r="D8" s="1">
        <v>160000</v>
      </c>
      <c r="E8">
        <v>2</v>
      </c>
      <c r="F8" t="s">
        <v>27</v>
      </c>
      <c r="G8" t="s">
        <v>28</v>
      </c>
      <c r="H8" t="s">
        <v>15</v>
      </c>
      <c r="I8">
        <v>4</v>
      </c>
      <c r="J8" t="s">
        <v>16</v>
      </c>
      <c r="K8" t="s">
        <v>24</v>
      </c>
      <c r="L8">
        <v>33</v>
      </c>
      <c r="M8" t="str">
        <f t="shared" si="0"/>
        <v>Middle Age</v>
      </c>
      <c r="N8" t="s">
        <v>15</v>
      </c>
    </row>
    <row r="9" spans="1:14" x14ac:dyDescent="0.25">
      <c r="A9">
        <v>19364</v>
      </c>
      <c r="B9" t="s">
        <v>36</v>
      </c>
      <c r="C9" t="s">
        <v>38</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1">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1">
        <v>20000</v>
      </c>
      <c r="E21">
        <v>2</v>
      </c>
      <c r="F21" t="s">
        <v>29</v>
      </c>
      <c r="G21" t="s">
        <v>20</v>
      </c>
      <c r="H21" t="s">
        <v>15</v>
      </c>
      <c r="I21">
        <v>2</v>
      </c>
      <c r="J21" t="s">
        <v>23</v>
      </c>
      <c r="K21" t="s">
        <v>24</v>
      </c>
      <c r="L21">
        <v>55</v>
      </c>
      <c r="M21" t="str">
        <f t="shared" si="0"/>
        <v>Middle Age</v>
      </c>
      <c r="N21" t="s">
        <v>15</v>
      </c>
    </row>
    <row r="22" spans="1:14" x14ac:dyDescent="0.2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1">
        <v>30000</v>
      </c>
      <c r="E28">
        <v>0</v>
      </c>
      <c r="F28" t="s">
        <v>19</v>
      </c>
      <c r="G28" t="s">
        <v>20</v>
      </c>
      <c r="H28" t="s">
        <v>18</v>
      </c>
      <c r="I28">
        <v>1</v>
      </c>
      <c r="J28" t="s">
        <v>16</v>
      </c>
      <c r="K28" t="s">
        <v>17</v>
      </c>
      <c r="L28">
        <v>29</v>
      </c>
      <c r="M28" t="str">
        <f t="shared" si="0"/>
        <v>Youth</v>
      </c>
      <c r="N28" t="s">
        <v>15</v>
      </c>
    </row>
    <row r="29" spans="1:14" x14ac:dyDescent="0.2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1">
        <v>10000</v>
      </c>
      <c r="E33">
        <v>0</v>
      </c>
      <c r="F33" t="s">
        <v>19</v>
      </c>
      <c r="G33" t="s">
        <v>25</v>
      </c>
      <c r="H33" t="s">
        <v>18</v>
      </c>
      <c r="I33">
        <v>1</v>
      </c>
      <c r="J33" t="s">
        <v>16</v>
      </c>
      <c r="K33" t="s">
        <v>24</v>
      </c>
      <c r="L33">
        <v>26</v>
      </c>
      <c r="M33" t="str">
        <f t="shared" si="0"/>
        <v>Youth</v>
      </c>
      <c r="N33" t="s">
        <v>15</v>
      </c>
    </row>
    <row r="34" spans="1:14" x14ac:dyDescent="0.2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1">
        <v>30000</v>
      </c>
      <c r="E39">
        <v>0</v>
      </c>
      <c r="F39" t="s">
        <v>19</v>
      </c>
      <c r="G39" t="s">
        <v>20</v>
      </c>
      <c r="H39" t="s">
        <v>18</v>
      </c>
      <c r="I39">
        <v>1</v>
      </c>
      <c r="J39" t="s">
        <v>22</v>
      </c>
      <c r="K39" t="s">
        <v>17</v>
      </c>
      <c r="L39">
        <v>30</v>
      </c>
      <c r="M39" t="str">
        <f t="shared" si="0"/>
        <v>Youth</v>
      </c>
      <c r="N39" t="s">
        <v>18</v>
      </c>
    </row>
    <row r="40" spans="1:14" x14ac:dyDescent="0.25">
      <c r="A40">
        <v>26863</v>
      </c>
      <c r="B40" t="s">
        <v>37</v>
      </c>
      <c r="C40" t="s">
        <v>38</v>
      </c>
      <c r="D40" s="1">
        <v>20000</v>
      </c>
      <c r="E40">
        <v>0</v>
      </c>
      <c r="F40" t="s">
        <v>27</v>
      </c>
      <c r="G40" t="s">
        <v>25</v>
      </c>
      <c r="H40" t="s">
        <v>18</v>
      </c>
      <c r="I40">
        <v>1</v>
      </c>
      <c r="J40" t="s">
        <v>22</v>
      </c>
      <c r="K40" t="s">
        <v>17</v>
      </c>
      <c r="L40">
        <v>28</v>
      </c>
      <c r="M40" t="str">
        <f t="shared" si="0"/>
        <v>Youth</v>
      </c>
      <c r="N40" t="s">
        <v>18</v>
      </c>
    </row>
    <row r="41" spans="1:14" x14ac:dyDescent="0.2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1">
        <v>30000</v>
      </c>
      <c r="E52">
        <v>0</v>
      </c>
      <c r="F52" t="s">
        <v>19</v>
      </c>
      <c r="G52" t="s">
        <v>20</v>
      </c>
      <c r="H52" t="s">
        <v>18</v>
      </c>
      <c r="I52">
        <v>1</v>
      </c>
      <c r="J52" t="s">
        <v>16</v>
      </c>
      <c r="K52" t="s">
        <v>17</v>
      </c>
      <c r="L52">
        <v>28</v>
      </c>
      <c r="M52" t="str">
        <f t="shared" si="0"/>
        <v>Youth</v>
      </c>
      <c r="N52" t="s">
        <v>18</v>
      </c>
    </row>
    <row r="53" spans="1:14" x14ac:dyDescent="0.25">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1">
        <v>30000</v>
      </c>
      <c r="E67">
        <v>2</v>
      </c>
      <c r="F67" t="s">
        <v>19</v>
      </c>
      <c r="G67" t="s">
        <v>20</v>
      </c>
      <c r="H67" t="s">
        <v>15</v>
      </c>
      <c r="I67">
        <v>2</v>
      </c>
      <c r="J67" t="s">
        <v>23</v>
      </c>
      <c r="K67" t="s">
        <v>24</v>
      </c>
      <c r="L67">
        <v>68</v>
      </c>
      <c r="M67" t="str">
        <f t="shared" ref="M67:M130" si="1">IF(L67&gt;55, "Old",IF(L67&gt;=31,"Middle Age",IF(L67&lt;31,"Youth","Invalid")))</f>
        <v>Old</v>
      </c>
      <c r="N67" t="s">
        <v>18</v>
      </c>
    </row>
    <row r="68" spans="1:14" x14ac:dyDescent="0.2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1">
        <v>10000</v>
      </c>
      <c r="E71">
        <v>0</v>
      </c>
      <c r="F71" t="s">
        <v>29</v>
      </c>
      <c r="G71" t="s">
        <v>25</v>
      </c>
      <c r="H71" t="s">
        <v>18</v>
      </c>
      <c r="I71">
        <v>2</v>
      </c>
      <c r="J71" t="s">
        <v>16</v>
      </c>
      <c r="K71" t="s">
        <v>17</v>
      </c>
      <c r="L71">
        <v>30</v>
      </c>
      <c r="M71" t="str">
        <f t="shared" si="1"/>
        <v>Youth</v>
      </c>
      <c r="N71" t="s">
        <v>18</v>
      </c>
    </row>
    <row r="72" spans="1:14" x14ac:dyDescent="0.25">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1">
        <v>20000</v>
      </c>
      <c r="E78">
        <v>0</v>
      </c>
      <c r="F78" t="s">
        <v>29</v>
      </c>
      <c r="G78" t="s">
        <v>25</v>
      </c>
      <c r="H78" t="s">
        <v>18</v>
      </c>
      <c r="I78">
        <v>2</v>
      </c>
      <c r="J78" t="s">
        <v>26</v>
      </c>
      <c r="K78" t="s">
        <v>17</v>
      </c>
      <c r="L78">
        <v>26</v>
      </c>
      <c r="M78" t="str">
        <f t="shared" si="1"/>
        <v>Youth</v>
      </c>
      <c r="N78" t="s">
        <v>18</v>
      </c>
    </row>
    <row r="79" spans="1:14" x14ac:dyDescent="0.25">
      <c r="A79">
        <v>27969</v>
      </c>
      <c r="B79" t="s">
        <v>36</v>
      </c>
      <c r="C79" t="s">
        <v>38</v>
      </c>
      <c r="D79" s="1">
        <v>80000</v>
      </c>
      <c r="E79">
        <v>0</v>
      </c>
      <c r="F79" t="s">
        <v>13</v>
      </c>
      <c r="G79" t="s">
        <v>21</v>
      </c>
      <c r="H79" t="s">
        <v>15</v>
      </c>
      <c r="I79">
        <v>2</v>
      </c>
      <c r="J79" t="s">
        <v>46</v>
      </c>
      <c r="K79" t="s">
        <v>24</v>
      </c>
      <c r="L79">
        <v>29</v>
      </c>
      <c r="M79" t="str">
        <f t="shared" si="1"/>
        <v>Youth</v>
      </c>
      <c r="N79" t="s">
        <v>15</v>
      </c>
    </row>
    <row r="80" spans="1:14" x14ac:dyDescent="0.2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1">
        <v>20000</v>
      </c>
      <c r="E85">
        <v>0</v>
      </c>
      <c r="F85" t="s">
        <v>27</v>
      </c>
      <c r="G85" t="s">
        <v>25</v>
      </c>
      <c r="H85" t="s">
        <v>18</v>
      </c>
      <c r="I85">
        <v>1</v>
      </c>
      <c r="J85" t="s">
        <v>22</v>
      </c>
      <c r="K85" t="s">
        <v>17</v>
      </c>
      <c r="L85">
        <v>29</v>
      </c>
      <c r="M85" t="str">
        <f t="shared" si="1"/>
        <v>Youth</v>
      </c>
      <c r="N85" t="s">
        <v>18</v>
      </c>
    </row>
    <row r="86" spans="1:14" x14ac:dyDescent="0.2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1">
        <v>10000</v>
      </c>
      <c r="E87">
        <v>0</v>
      </c>
      <c r="F87" t="s">
        <v>19</v>
      </c>
      <c r="G87" t="s">
        <v>25</v>
      </c>
      <c r="H87" t="s">
        <v>15</v>
      </c>
      <c r="I87">
        <v>1</v>
      </c>
      <c r="J87" t="s">
        <v>26</v>
      </c>
      <c r="K87" t="s">
        <v>24</v>
      </c>
      <c r="L87">
        <v>26</v>
      </c>
      <c r="M87" t="str">
        <f t="shared" si="1"/>
        <v>Youth</v>
      </c>
      <c r="N87" t="s">
        <v>15</v>
      </c>
    </row>
    <row r="88" spans="1:14" x14ac:dyDescent="0.2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1">
        <v>30000</v>
      </c>
      <c r="E90">
        <v>0</v>
      </c>
      <c r="F90" t="s">
        <v>19</v>
      </c>
      <c r="G90" t="s">
        <v>20</v>
      </c>
      <c r="H90" t="s">
        <v>18</v>
      </c>
      <c r="I90">
        <v>1</v>
      </c>
      <c r="J90" t="s">
        <v>22</v>
      </c>
      <c r="K90" t="s">
        <v>17</v>
      </c>
      <c r="L90">
        <v>29</v>
      </c>
      <c r="M90" t="str">
        <f t="shared" si="1"/>
        <v>Youth</v>
      </c>
      <c r="N90" t="s">
        <v>18</v>
      </c>
    </row>
    <row r="91" spans="1:14" x14ac:dyDescent="0.2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1">
        <v>30000</v>
      </c>
      <c r="E92">
        <v>0</v>
      </c>
      <c r="F92" t="s">
        <v>19</v>
      </c>
      <c r="G92" t="s">
        <v>20</v>
      </c>
      <c r="H92" t="s">
        <v>18</v>
      </c>
      <c r="I92">
        <v>1</v>
      </c>
      <c r="J92" t="s">
        <v>16</v>
      </c>
      <c r="K92" t="s">
        <v>17</v>
      </c>
      <c r="L92">
        <v>29</v>
      </c>
      <c r="M92" t="str">
        <f t="shared" si="1"/>
        <v>Youth</v>
      </c>
      <c r="N92" t="s">
        <v>15</v>
      </c>
    </row>
    <row r="93" spans="1:14" x14ac:dyDescent="0.25">
      <c r="A93">
        <v>28436</v>
      </c>
      <c r="B93" t="s">
        <v>37</v>
      </c>
      <c r="C93" t="s">
        <v>38</v>
      </c>
      <c r="D93" s="1">
        <v>30000</v>
      </c>
      <c r="E93">
        <v>0</v>
      </c>
      <c r="F93" t="s">
        <v>19</v>
      </c>
      <c r="G93" t="s">
        <v>20</v>
      </c>
      <c r="H93" t="s">
        <v>18</v>
      </c>
      <c r="I93">
        <v>1</v>
      </c>
      <c r="J93" t="s">
        <v>16</v>
      </c>
      <c r="K93" t="s">
        <v>17</v>
      </c>
      <c r="L93">
        <v>30</v>
      </c>
      <c r="M93" t="str">
        <f t="shared" si="1"/>
        <v>Youth</v>
      </c>
      <c r="N93" t="s">
        <v>15</v>
      </c>
    </row>
    <row r="94" spans="1:14" x14ac:dyDescent="0.2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1">
        <v>30000</v>
      </c>
      <c r="E96">
        <v>3</v>
      </c>
      <c r="F96" t="s">
        <v>27</v>
      </c>
      <c r="G96" t="s">
        <v>14</v>
      </c>
      <c r="H96" t="s">
        <v>15</v>
      </c>
      <c r="I96">
        <v>2</v>
      </c>
      <c r="J96" t="s">
        <v>23</v>
      </c>
      <c r="K96" t="s">
        <v>24</v>
      </c>
      <c r="L96">
        <v>55</v>
      </c>
      <c r="M96" t="str">
        <f t="shared" si="1"/>
        <v>Middle Age</v>
      </c>
      <c r="N96" t="s">
        <v>18</v>
      </c>
    </row>
    <row r="97" spans="1:14" x14ac:dyDescent="0.25">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1">
        <v>40000</v>
      </c>
      <c r="E100">
        <v>0</v>
      </c>
      <c r="F100" t="s">
        <v>31</v>
      </c>
      <c r="G100" t="s">
        <v>20</v>
      </c>
      <c r="H100" t="s">
        <v>15</v>
      </c>
      <c r="I100">
        <v>0</v>
      </c>
      <c r="J100" t="s">
        <v>16</v>
      </c>
      <c r="K100" t="s">
        <v>17</v>
      </c>
      <c r="L100">
        <v>25</v>
      </c>
      <c r="M100" t="str">
        <f t="shared" si="1"/>
        <v>Youth</v>
      </c>
      <c r="N100" t="s">
        <v>15</v>
      </c>
    </row>
    <row r="101" spans="1:14" x14ac:dyDescent="0.2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1">
        <v>30000</v>
      </c>
      <c r="E107">
        <v>0</v>
      </c>
      <c r="F107" t="s">
        <v>19</v>
      </c>
      <c r="G107" t="s">
        <v>20</v>
      </c>
      <c r="H107" t="s">
        <v>18</v>
      </c>
      <c r="I107">
        <v>1</v>
      </c>
      <c r="J107" t="s">
        <v>22</v>
      </c>
      <c r="K107" t="s">
        <v>17</v>
      </c>
      <c r="L107">
        <v>30</v>
      </c>
      <c r="M107" t="str">
        <f t="shared" si="1"/>
        <v>Youth</v>
      </c>
      <c r="N107" t="s">
        <v>18</v>
      </c>
    </row>
    <row r="108" spans="1:14" x14ac:dyDescent="0.2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1">
        <v>20000</v>
      </c>
      <c r="E116">
        <v>0</v>
      </c>
      <c r="F116" t="s">
        <v>13</v>
      </c>
      <c r="G116" t="s">
        <v>20</v>
      </c>
      <c r="H116" t="s">
        <v>15</v>
      </c>
      <c r="I116">
        <v>0</v>
      </c>
      <c r="J116" t="s">
        <v>16</v>
      </c>
      <c r="K116" t="s">
        <v>24</v>
      </c>
      <c r="L116">
        <v>26</v>
      </c>
      <c r="M116" t="str">
        <f t="shared" si="1"/>
        <v>Youth</v>
      </c>
      <c r="N116" t="s">
        <v>15</v>
      </c>
    </row>
    <row r="117" spans="1:14" x14ac:dyDescent="0.25">
      <c r="A117">
        <v>24140</v>
      </c>
      <c r="B117" t="s">
        <v>37</v>
      </c>
      <c r="C117" t="s">
        <v>38</v>
      </c>
      <c r="D117" s="1">
        <v>10000</v>
      </c>
      <c r="E117">
        <v>0</v>
      </c>
      <c r="F117" t="s">
        <v>31</v>
      </c>
      <c r="G117" t="s">
        <v>25</v>
      </c>
      <c r="H117" t="s">
        <v>18</v>
      </c>
      <c r="I117">
        <v>0</v>
      </c>
      <c r="J117" t="s">
        <v>16</v>
      </c>
      <c r="K117" t="s">
        <v>17</v>
      </c>
      <c r="L117">
        <v>30</v>
      </c>
      <c r="M117" t="str">
        <f t="shared" si="1"/>
        <v>Youth</v>
      </c>
      <c r="N117" t="s">
        <v>15</v>
      </c>
    </row>
    <row r="118" spans="1:14" x14ac:dyDescent="0.2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1">
        <v>30000</v>
      </c>
      <c r="E121">
        <v>0</v>
      </c>
      <c r="F121" t="s">
        <v>19</v>
      </c>
      <c r="G121" t="s">
        <v>20</v>
      </c>
      <c r="H121" t="s">
        <v>18</v>
      </c>
      <c r="I121">
        <v>1</v>
      </c>
      <c r="J121" t="s">
        <v>22</v>
      </c>
      <c r="K121" t="s">
        <v>17</v>
      </c>
      <c r="L121">
        <v>29</v>
      </c>
      <c r="M121" t="str">
        <f t="shared" si="1"/>
        <v>Youth</v>
      </c>
      <c r="N121" t="s">
        <v>18</v>
      </c>
    </row>
    <row r="122" spans="1:14" x14ac:dyDescent="0.2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1">
        <v>10000</v>
      </c>
      <c r="E131">
        <v>3</v>
      </c>
      <c r="F131" t="s">
        <v>27</v>
      </c>
      <c r="G131" t="s">
        <v>25</v>
      </c>
      <c r="H131" t="s">
        <v>15</v>
      </c>
      <c r="I131">
        <v>1</v>
      </c>
      <c r="J131" t="s">
        <v>16</v>
      </c>
      <c r="K131" t="s">
        <v>17</v>
      </c>
      <c r="L131">
        <v>39</v>
      </c>
      <c r="M131" t="str">
        <f t="shared" ref="M131:M194" si="2">IF(L131&gt;55, "Old",IF(L131&gt;=31,"Middle Age",IF(L131&lt;31,"Youth","Invalid")))</f>
        <v>Middle Age</v>
      </c>
      <c r="N131" t="s">
        <v>15</v>
      </c>
    </row>
    <row r="132" spans="1:14" x14ac:dyDescent="0.2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1">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1">
        <v>10000</v>
      </c>
      <c r="E143">
        <v>0</v>
      </c>
      <c r="F143" t="s">
        <v>19</v>
      </c>
      <c r="G143" t="s">
        <v>25</v>
      </c>
      <c r="H143" t="s">
        <v>18</v>
      </c>
      <c r="I143">
        <v>1</v>
      </c>
      <c r="J143" t="s">
        <v>16</v>
      </c>
      <c r="K143" t="s">
        <v>24</v>
      </c>
      <c r="L143">
        <v>26</v>
      </c>
      <c r="M143" t="str">
        <f t="shared" si="2"/>
        <v>Youth</v>
      </c>
      <c r="N143" t="s">
        <v>15</v>
      </c>
    </row>
    <row r="144" spans="1:14" x14ac:dyDescent="0.2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1">
        <v>30000</v>
      </c>
      <c r="E151">
        <v>0</v>
      </c>
      <c r="F151" t="s">
        <v>19</v>
      </c>
      <c r="G151" t="s">
        <v>20</v>
      </c>
      <c r="H151" t="s">
        <v>18</v>
      </c>
      <c r="I151">
        <v>1</v>
      </c>
      <c r="J151" t="s">
        <v>26</v>
      </c>
      <c r="K151" t="s">
        <v>17</v>
      </c>
      <c r="L151">
        <v>27</v>
      </c>
      <c r="M151" t="str">
        <f t="shared" si="2"/>
        <v>Youth</v>
      </c>
      <c r="N151" t="s">
        <v>18</v>
      </c>
    </row>
    <row r="152" spans="1:14" x14ac:dyDescent="0.2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1">
        <v>10000</v>
      </c>
      <c r="E166">
        <v>0</v>
      </c>
      <c r="F166" t="s">
        <v>19</v>
      </c>
      <c r="G166" t="s">
        <v>25</v>
      </c>
      <c r="H166" t="s">
        <v>15</v>
      </c>
      <c r="I166">
        <v>1</v>
      </c>
      <c r="J166" t="s">
        <v>22</v>
      </c>
      <c r="K166" t="s">
        <v>24</v>
      </c>
      <c r="L166">
        <v>25</v>
      </c>
      <c r="M166" t="str">
        <f t="shared" si="2"/>
        <v>Youth</v>
      </c>
      <c r="N166" t="s">
        <v>15</v>
      </c>
    </row>
    <row r="167" spans="1:14" x14ac:dyDescent="0.25">
      <c r="A167">
        <v>15465</v>
      </c>
      <c r="B167" t="s">
        <v>36</v>
      </c>
      <c r="C167" t="s">
        <v>39</v>
      </c>
      <c r="D167" s="1">
        <v>10000</v>
      </c>
      <c r="E167">
        <v>0</v>
      </c>
      <c r="F167" t="s">
        <v>19</v>
      </c>
      <c r="G167" t="s">
        <v>25</v>
      </c>
      <c r="H167" t="s">
        <v>18</v>
      </c>
      <c r="I167">
        <v>1</v>
      </c>
      <c r="J167" t="s">
        <v>16</v>
      </c>
      <c r="K167" t="s">
        <v>24</v>
      </c>
      <c r="L167">
        <v>25</v>
      </c>
      <c r="M167" t="str">
        <f t="shared" si="2"/>
        <v>Youth</v>
      </c>
      <c r="N167" t="s">
        <v>18</v>
      </c>
    </row>
    <row r="168" spans="1:14" x14ac:dyDescent="0.2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1">
        <v>10000</v>
      </c>
      <c r="E175">
        <v>0</v>
      </c>
      <c r="F175" t="s">
        <v>19</v>
      </c>
      <c r="G175" t="s">
        <v>25</v>
      </c>
      <c r="H175" t="s">
        <v>15</v>
      </c>
      <c r="I175">
        <v>1</v>
      </c>
      <c r="J175" t="s">
        <v>22</v>
      </c>
      <c r="K175" t="s">
        <v>24</v>
      </c>
      <c r="L175">
        <v>27</v>
      </c>
      <c r="M175" t="str">
        <f t="shared" si="2"/>
        <v>Youth</v>
      </c>
      <c r="N175" t="s">
        <v>18</v>
      </c>
    </row>
    <row r="176" spans="1:14" x14ac:dyDescent="0.2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1">
        <v>20000</v>
      </c>
      <c r="E178">
        <v>0</v>
      </c>
      <c r="F178" t="s">
        <v>19</v>
      </c>
      <c r="G178" t="s">
        <v>25</v>
      </c>
      <c r="H178" t="s">
        <v>15</v>
      </c>
      <c r="I178">
        <v>0</v>
      </c>
      <c r="J178" t="s">
        <v>16</v>
      </c>
      <c r="K178" t="s">
        <v>24</v>
      </c>
      <c r="L178">
        <v>29</v>
      </c>
      <c r="M178" t="str">
        <f t="shared" si="2"/>
        <v>Youth</v>
      </c>
      <c r="N178" t="s">
        <v>15</v>
      </c>
    </row>
    <row r="179" spans="1:14" x14ac:dyDescent="0.2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1">
        <v>160000</v>
      </c>
      <c r="E180">
        <v>4</v>
      </c>
      <c r="F180" t="s">
        <v>19</v>
      </c>
      <c r="G180" t="s">
        <v>21</v>
      </c>
      <c r="H180" t="s">
        <v>18</v>
      </c>
      <c r="I180">
        <v>2</v>
      </c>
      <c r="J180" t="s">
        <v>46</v>
      </c>
      <c r="K180" t="s">
        <v>17</v>
      </c>
      <c r="L180">
        <v>55</v>
      </c>
      <c r="M180" t="str">
        <f t="shared" si="2"/>
        <v>Middle Age</v>
      </c>
      <c r="N180" t="s">
        <v>15</v>
      </c>
    </row>
    <row r="181" spans="1:14" x14ac:dyDescent="0.2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1">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1">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1">
        <v>70000</v>
      </c>
      <c r="E195">
        <v>5</v>
      </c>
      <c r="F195" t="s">
        <v>13</v>
      </c>
      <c r="G195" t="s">
        <v>21</v>
      </c>
      <c r="H195" t="s">
        <v>15</v>
      </c>
      <c r="I195">
        <v>4</v>
      </c>
      <c r="J195" t="s">
        <v>46</v>
      </c>
      <c r="K195" t="s">
        <v>24</v>
      </c>
      <c r="L195">
        <v>41</v>
      </c>
      <c r="M195" t="str">
        <f t="shared" ref="M195:M258" si="3">IF(L195&gt;55, "Old",IF(L195&gt;=31,"Middle Age",IF(L195&lt;31,"Youth","Invalid")))</f>
        <v>Middle Age</v>
      </c>
      <c r="N195" t="s">
        <v>18</v>
      </c>
    </row>
    <row r="196" spans="1:14" x14ac:dyDescent="0.2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1">
        <v>20000</v>
      </c>
      <c r="E197">
        <v>0</v>
      </c>
      <c r="F197" t="s">
        <v>13</v>
      </c>
      <c r="G197" t="s">
        <v>20</v>
      </c>
      <c r="H197" t="s">
        <v>15</v>
      </c>
      <c r="I197">
        <v>0</v>
      </c>
      <c r="J197" t="s">
        <v>16</v>
      </c>
      <c r="K197" t="s">
        <v>24</v>
      </c>
      <c r="L197">
        <v>25</v>
      </c>
      <c r="M197" t="str">
        <f t="shared" si="3"/>
        <v>Youth</v>
      </c>
      <c r="N197" t="s">
        <v>15</v>
      </c>
    </row>
    <row r="198" spans="1:14" x14ac:dyDescent="0.2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1">
        <v>10000</v>
      </c>
      <c r="E203">
        <v>1</v>
      </c>
      <c r="F203" t="s">
        <v>27</v>
      </c>
      <c r="G203" t="s">
        <v>25</v>
      </c>
      <c r="H203" t="s">
        <v>15</v>
      </c>
      <c r="I203">
        <v>0</v>
      </c>
      <c r="J203" t="s">
        <v>22</v>
      </c>
      <c r="K203" t="s">
        <v>24</v>
      </c>
      <c r="L203">
        <v>27</v>
      </c>
      <c r="M203" t="str">
        <f t="shared" si="3"/>
        <v>Youth</v>
      </c>
      <c r="N203" t="s">
        <v>15</v>
      </c>
    </row>
    <row r="204" spans="1:14" x14ac:dyDescent="0.2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1">
        <v>20000</v>
      </c>
      <c r="E209">
        <v>0</v>
      </c>
      <c r="F209" t="s">
        <v>29</v>
      </c>
      <c r="G209" t="s">
        <v>25</v>
      </c>
      <c r="H209" t="s">
        <v>15</v>
      </c>
      <c r="I209">
        <v>2</v>
      </c>
      <c r="J209" t="s">
        <v>26</v>
      </c>
      <c r="K209" t="s">
        <v>17</v>
      </c>
      <c r="L209">
        <v>26</v>
      </c>
      <c r="M209" t="str">
        <f t="shared" si="3"/>
        <v>Youth</v>
      </c>
      <c r="N209" t="s">
        <v>15</v>
      </c>
    </row>
    <row r="210" spans="1:14" x14ac:dyDescent="0.2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1">
        <v>30000</v>
      </c>
      <c r="E214">
        <v>0</v>
      </c>
      <c r="F214" t="s">
        <v>19</v>
      </c>
      <c r="G214" t="s">
        <v>20</v>
      </c>
      <c r="H214" t="s">
        <v>18</v>
      </c>
      <c r="I214">
        <v>1</v>
      </c>
      <c r="J214" t="s">
        <v>22</v>
      </c>
      <c r="K214" t="s">
        <v>17</v>
      </c>
      <c r="L214">
        <v>30</v>
      </c>
      <c r="M214" t="str">
        <f t="shared" si="3"/>
        <v>Youth</v>
      </c>
      <c r="N214" t="s">
        <v>18</v>
      </c>
    </row>
    <row r="215" spans="1:14" x14ac:dyDescent="0.25">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1">
        <v>20000</v>
      </c>
      <c r="E219">
        <v>0</v>
      </c>
      <c r="F219" t="s">
        <v>29</v>
      </c>
      <c r="G219" t="s">
        <v>25</v>
      </c>
      <c r="H219" t="s">
        <v>18</v>
      </c>
      <c r="I219">
        <v>2</v>
      </c>
      <c r="J219" t="s">
        <v>16</v>
      </c>
      <c r="K219" t="s">
        <v>17</v>
      </c>
      <c r="L219">
        <v>25</v>
      </c>
      <c r="M219" t="str">
        <f t="shared" si="3"/>
        <v>Youth</v>
      </c>
      <c r="N219" t="s">
        <v>18</v>
      </c>
    </row>
    <row r="220" spans="1:14" x14ac:dyDescent="0.2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1">
        <v>10000</v>
      </c>
      <c r="E221">
        <v>0</v>
      </c>
      <c r="F221" t="s">
        <v>19</v>
      </c>
      <c r="G221" t="s">
        <v>25</v>
      </c>
      <c r="H221" t="s">
        <v>15</v>
      </c>
      <c r="I221">
        <v>1</v>
      </c>
      <c r="J221" t="s">
        <v>26</v>
      </c>
      <c r="K221" t="s">
        <v>24</v>
      </c>
      <c r="L221">
        <v>26</v>
      </c>
      <c r="M221" t="str">
        <f t="shared" si="3"/>
        <v>Youth</v>
      </c>
      <c r="N221" t="s">
        <v>15</v>
      </c>
    </row>
    <row r="222" spans="1:14" x14ac:dyDescent="0.2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1">
        <v>20000</v>
      </c>
      <c r="E235">
        <v>0</v>
      </c>
      <c r="F235" t="s">
        <v>13</v>
      </c>
      <c r="G235" t="s">
        <v>20</v>
      </c>
      <c r="H235" t="s">
        <v>15</v>
      </c>
      <c r="I235">
        <v>0</v>
      </c>
      <c r="J235" t="s">
        <v>16</v>
      </c>
      <c r="K235" t="s">
        <v>24</v>
      </c>
      <c r="L235">
        <v>27</v>
      </c>
      <c r="M235" t="str">
        <f t="shared" si="3"/>
        <v>Youth</v>
      </c>
      <c r="N235" t="s">
        <v>15</v>
      </c>
    </row>
    <row r="236" spans="1:14" x14ac:dyDescent="0.25">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1">
        <v>10000</v>
      </c>
      <c r="E239">
        <v>0</v>
      </c>
      <c r="F239" t="s">
        <v>19</v>
      </c>
      <c r="G239" t="s">
        <v>25</v>
      </c>
      <c r="H239" t="s">
        <v>18</v>
      </c>
      <c r="I239">
        <v>1</v>
      </c>
      <c r="J239" t="s">
        <v>16</v>
      </c>
      <c r="K239" t="s">
        <v>24</v>
      </c>
      <c r="L239">
        <v>26</v>
      </c>
      <c r="M239" t="str">
        <f t="shared" si="3"/>
        <v>Youth</v>
      </c>
      <c r="N239" t="s">
        <v>15</v>
      </c>
    </row>
    <row r="240" spans="1:14" x14ac:dyDescent="0.2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1">
        <v>30000</v>
      </c>
      <c r="E243">
        <v>3</v>
      </c>
      <c r="F243" t="s">
        <v>19</v>
      </c>
      <c r="G243" t="s">
        <v>20</v>
      </c>
      <c r="H243" t="s">
        <v>15</v>
      </c>
      <c r="I243">
        <v>2</v>
      </c>
      <c r="J243" t="s">
        <v>16</v>
      </c>
      <c r="K243" t="s">
        <v>17</v>
      </c>
      <c r="L243">
        <v>27</v>
      </c>
      <c r="M243" t="str">
        <f t="shared" si="3"/>
        <v>Youth</v>
      </c>
      <c r="N243" t="s">
        <v>18</v>
      </c>
    </row>
    <row r="244" spans="1:14" x14ac:dyDescent="0.2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1">
        <v>20000</v>
      </c>
      <c r="E245">
        <v>0</v>
      </c>
      <c r="F245" t="s">
        <v>27</v>
      </c>
      <c r="G245" t="s">
        <v>25</v>
      </c>
      <c r="H245" t="s">
        <v>18</v>
      </c>
      <c r="I245">
        <v>1</v>
      </c>
      <c r="J245" t="s">
        <v>22</v>
      </c>
      <c r="K245" t="s">
        <v>17</v>
      </c>
      <c r="L245">
        <v>29</v>
      </c>
      <c r="M245" t="str">
        <f t="shared" si="3"/>
        <v>Youth</v>
      </c>
      <c r="N245" t="s">
        <v>18</v>
      </c>
    </row>
    <row r="246" spans="1:14" x14ac:dyDescent="0.25">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1">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1">
        <v>50000</v>
      </c>
      <c r="E259">
        <v>0</v>
      </c>
      <c r="F259" t="s">
        <v>31</v>
      </c>
      <c r="G259" t="s">
        <v>14</v>
      </c>
      <c r="H259" t="s">
        <v>15</v>
      </c>
      <c r="I259">
        <v>0</v>
      </c>
      <c r="J259" t="s">
        <v>16</v>
      </c>
      <c r="K259" t="s">
        <v>17</v>
      </c>
      <c r="L259">
        <v>36</v>
      </c>
      <c r="M259" t="str">
        <f t="shared" ref="M259:M322" si="4">IF(L259&gt;55, "Old",IF(L259&gt;=31,"Middle Age",IF(L259&lt;31,"Youth","Invalid")))</f>
        <v>Middle Age</v>
      </c>
      <c r="N259" t="s">
        <v>15</v>
      </c>
    </row>
    <row r="260" spans="1:14" x14ac:dyDescent="0.25">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1">
        <v>20000</v>
      </c>
      <c r="E268">
        <v>5</v>
      </c>
      <c r="F268" t="s">
        <v>27</v>
      </c>
      <c r="G268" t="s">
        <v>25</v>
      </c>
      <c r="H268" t="s">
        <v>15</v>
      </c>
      <c r="I268">
        <v>2</v>
      </c>
      <c r="J268" t="s">
        <v>16</v>
      </c>
      <c r="K268" t="s">
        <v>17</v>
      </c>
      <c r="L268">
        <v>27</v>
      </c>
      <c r="M268" t="str">
        <f t="shared" si="4"/>
        <v>Youth</v>
      </c>
      <c r="N268" t="s">
        <v>18</v>
      </c>
    </row>
    <row r="269" spans="1:14" x14ac:dyDescent="0.2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1">
        <v>20000</v>
      </c>
      <c r="E273">
        <v>0</v>
      </c>
      <c r="F273" t="s">
        <v>27</v>
      </c>
      <c r="G273" t="s">
        <v>25</v>
      </c>
      <c r="H273" t="s">
        <v>18</v>
      </c>
      <c r="I273">
        <v>1</v>
      </c>
      <c r="J273" t="s">
        <v>26</v>
      </c>
      <c r="K273" t="s">
        <v>17</v>
      </c>
      <c r="L273">
        <v>28</v>
      </c>
      <c r="M273" t="str">
        <f t="shared" si="4"/>
        <v>Youth</v>
      </c>
      <c r="N273" t="s">
        <v>18</v>
      </c>
    </row>
    <row r="274" spans="1:14" x14ac:dyDescent="0.2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1">
        <v>20000</v>
      </c>
      <c r="E275">
        <v>0</v>
      </c>
      <c r="F275" t="s">
        <v>27</v>
      </c>
      <c r="G275" t="s">
        <v>25</v>
      </c>
      <c r="H275" t="s">
        <v>18</v>
      </c>
      <c r="I275">
        <v>1</v>
      </c>
      <c r="J275" t="s">
        <v>22</v>
      </c>
      <c r="K275" t="s">
        <v>17</v>
      </c>
      <c r="L275">
        <v>30</v>
      </c>
      <c r="M275" t="str">
        <f t="shared" si="4"/>
        <v>Youth</v>
      </c>
      <c r="N275" t="s">
        <v>18</v>
      </c>
    </row>
    <row r="276" spans="1:14" x14ac:dyDescent="0.2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1">
        <v>40000</v>
      </c>
      <c r="E303">
        <v>0</v>
      </c>
      <c r="F303" t="s">
        <v>13</v>
      </c>
      <c r="G303" t="s">
        <v>20</v>
      </c>
      <c r="H303" t="s">
        <v>18</v>
      </c>
      <c r="I303">
        <v>0</v>
      </c>
      <c r="J303" t="s">
        <v>16</v>
      </c>
      <c r="K303" t="s">
        <v>24</v>
      </c>
      <c r="L303">
        <v>28</v>
      </c>
      <c r="M303" t="str">
        <f t="shared" si="4"/>
        <v>Youth</v>
      </c>
      <c r="N303" t="s">
        <v>15</v>
      </c>
    </row>
    <row r="304" spans="1:14" x14ac:dyDescent="0.2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1">
        <v>160000</v>
      </c>
      <c r="E323">
        <v>0</v>
      </c>
      <c r="F323" t="s">
        <v>31</v>
      </c>
      <c r="G323" t="s">
        <v>28</v>
      </c>
      <c r="H323" t="s">
        <v>18</v>
      </c>
      <c r="I323">
        <v>3</v>
      </c>
      <c r="J323" t="s">
        <v>16</v>
      </c>
      <c r="K323" t="s">
        <v>24</v>
      </c>
      <c r="L323">
        <v>47</v>
      </c>
      <c r="M323" t="str">
        <f t="shared" ref="M323:M386" si="5">IF(L323&gt;55, "Old",IF(L323&gt;=31,"Middle Age",IF(L323&lt;31,"Youth","Invalid")))</f>
        <v>Middle Age</v>
      </c>
      <c r="N323" t="s">
        <v>15</v>
      </c>
    </row>
    <row r="324" spans="1:14" x14ac:dyDescent="0.2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1">
        <v>20000</v>
      </c>
      <c r="E328">
        <v>0</v>
      </c>
      <c r="F328" t="s">
        <v>13</v>
      </c>
      <c r="G328" t="s">
        <v>20</v>
      </c>
      <c r="H328" t="s">
        <v>18</v>
      </c>
      <c r="I328">
        <v>0</v>
      </c>
      <c r="J328" t="s">
        <v>16</v>
      </c>
      <c r="K328" t="s">
        <v>24</v>
      </c>
      <c r="L328">
        <v>26</v>
      </c>
      <c r="M328" t="str">
        <f t="shared" si="5"/>
        <v>Youth</v>
      </c>
      <c r="N328" t="s">
        <v>15</v>
      </c>
    </row>
    <row r="329" spans="1:14" x14ac:dyDescent="0.2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1">
        <v>10000</v>
      </c>
      <c r="E333">
        <v>0</v>
      </c>
      <c r="F333" t="s">
        <v>29</v>
      </c>
      <c r="G333" t="s">
        <v>25</v>
      </c>
      <c r="H333" t="s">
        <v>18</v>
      </c>
      <c r="I333">
        <v>2</v>
      </c>
      <c r="J333" t="s">
        <v>16</v>
      </c>
      <c r="K333" t="s">
        <v>17</v>
      </c>
      <c r="L333">
        <v>30</v>
      </c>
      <c r="M333" t="str">
        <f t="shared" si="5"/>
        <v>Youth</v>
      </c>
      <c r="N333" t="s">
        <v>18</v>
      </c>
    </row>
    <row r="334" spans="1:14" x14ac:dyDescent="0.2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1">
        <v>30000</v>
      </c>
      <c r="E342">
        <v>0</v>
      </c>
      <c r="F342" t="s">
        <v>19</v>
      </c>
      <c r="G342" t="s">
        <v>20</v>
      </c>
      <c r="H342" t="s">
        <v>15</v>
      </c>
      <c r="I342">
        <v>1</v>
      </c>
      <c r="J342" t="s">
        <v>22</v>
      </c>
      <c r="K342" t="s">
        <v>17</v>
      </c>
      <c r="L342">
        <v>30</v>
      </c>
      <c r="M342" t="str">
        <f t="shared" si="5"/>
        <v>Youth</v>
      </c>
      <c r="N342" t="s">
        <v>18</v>
      </c>
    </row>
    <row r="343" spans="1:14" x14ac:dyDescent="0.2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1">
        <v>30000</v>
      </c>
      <c r="E351">
        <v>0</v>
      </c>
      <c r="F351" t="s">
        <v>19</v>
      </c>
      <c r="G351" t="s">
        <v>20</v>
      </c>
      <c r="H351" t="s">
        <v>18</v>
      </c>
      <c r="I351">
        <v>1</v>
      </c>
      <c r="J351" t="s">
        <v>16</v>
      </c>
      <c r="K351" t="s">
        <v>17</v>
      </c>
      <c r="L351">
        <v>29</v>
      </c>
      <c r="M351" t="str">
        <f t="shared" si="5"/>
        <v>Youth</v>
      </c>
      <c r="N351" t="s">
        <v>15</v>
      </c>
    </row>
    <row r="352" spans="1:14" x14ac:dyDescent="0.25">
      <c r="A352">
        <v>27878</v>
      </c>
      <c r="B352" t="s">
        <v>37</v>
      </c>
      <c r="C352" t="s">
        <v>38</v>
      </c>
      <c r="D352" s="1">
        <v>20000</v>
      </c>
      <c r="E352">
        <v>0</v>
      </c>
      <c r="F352" t="s">
        <v>19</v>
      </c>
      <c r="G352" t="s">
        <v>25</v>
      </c>
      <c r="H352" t="s">
        <v>18</v>
      </c>
      <c r="I352">
        <v>0</v>
      </c>
      <c r="J352" t="s">
        <v>16</v>
      </c>
      <c r="K352" t="s">
        <v>24</v>
      </c>
      <c r="L352">
        <v>28</v>
      </c>
      <c r="M352" t="str">
        <f t="shared" si="5"/>
        <v>Youth</v>
      </c>
      <c r="N352" t="s">
        <v>15</v>
      </c>
    </row>
    <row r="353" spans="1:14" x14ac:dyDescent="0.2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1">
        <v>80000</v>
      </c>
      <c r="E361">
        <v>0</v>
      </c>
      <c r="F361" t="s">
        <v>13</v>
      </c>
      <c r="G361" t="s">
        <v>21</v>
      </c>
      <c r="H361" t="s">
        <v>15</v>
      </c>
      <c r="I361">
        <v>3</v>
      </c>
      <c r="J361" t="s">
        <v>46</v>
      </c>
      <c r="K361" t="s">
        <v>24</v>
      </c>
      <c r="L361">
        <v>30</v>
      </c>
      <c r="M361" t="str">
        <f t="shared" si="5"/>
        <v>Youth</v>
      </c>
      <c r="N361" t="s">
        <v>18</v>
      </c>
    </row>
    <row r="362" spans="1:14" x14ac:dyDescent="0.2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1">
        <v>30000</v>
      </c>
      <c r="E363">
        <v>3</v>
      </c>
      <c r="F363" t="s">
        <v>19</v>
      </c>
      <c r="G363" t="s">
        <v>20</v>
      </c>
      <c r="H363" t="s">
        <v>18</v>
      </c>
      <c r="I363">
        <v>2</v>
      </c>
      <c r="J363" t="s">
        <v>16</v>
      </c>
      <c r="K363" t="s">
        <v>17</v>
      </c>
      <c r="L363">
        <v>27</v>
      </c>
      <c r="M363" t="str">
        <f t="shared" si="5"/>
        <v>Youth</v>
      </c>
      <c r="N363" t="s">
        <v>15</v>
      </c>
    </row>
    <row r="364" spans="1:14" x14ac:dyDescent="0.2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1">
        <v>20000</v>
      </c>
      <c r="E375">
        <v>0</v>
      </c>
      <c r="F375" t="s">
        <v>27</v>
      </c>
      <c r="G375" t="s">
        <v>25</v>
      </c>
      <c r="H375" t="s">
        <v>18</v>
      </c>
      <c r="I375">
        <v>1</v>
      </c>
      <c r="J375" t="s">
        <v>22</v>
      </c>
      <c r="K375" t="s">
        <v>17</v>
      </c>
      <c r="L375">
        <v>30</v>
      </c>
      <c r="M375" t="str">
        <f t="shared" si="5"/>
        <v>Youth</v>
      </c>
      <c r="N375" t="s">
        <v>18</v>
      </c>
    </row>
    <row r="376" spans="1:14" x14ac:dyDescent="0.2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1">
        <v>70000</v>
      </c>
      <c r="E382">
        <v>0</v>
      </c>
      <c r="F382" t="s">
        <v>13</v>
      </c>
      <c r="G382" t="s">
        <v>21</v>
      </c>
      <c r="H382" t="s">
        <v>18</v>
      </c>
      <c r="I382">
        <v>3</v>
      </c>
      <c r="J382" t="s">
        <v>46</v>
      </c>
      <c r="K382" t="s">
        <v>24</v>
      </c>
      <c r="L382">
        <v>30</v>
      </c>
      <c r="M382" t="str">
        <f t="shared" si="5"/>
        <v>Youth</v>
      </c>
      <c r="N382" t="s">
        <v>15</v>
      </c>
    </row>
    <row r="383" spans="1:14" x14ac:dyDescent="0.2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1">
        <v>10000</v>
      </c>
      <c r="E386">
        <v>0</v>
      </c>
      <c r="F386" t="s">
        <v>19</v>
      </c>
      <c r="G386" t="s">
        <v>25</v>
      </c>
      <c r="H386" t="s">
        <v>18</v>
      </c>
      <c r="I386">
        <v>1</v>
      </c>
      <c r="J386" t="s">
        <v>16</v>
      </c>
      <c r="K386" t="s">
        <v>24</v>
      </c>
      <c r="L386">
        <v>28</v>
      </c>
      <c r="M386" t="str">
        <f t="shared" si="5"/>
        <v>Youth</v>
      </c>
      <c r="N386" t="s">
        <v>15</v>
      </c>
    </row>
    <row r="387" spans="1:14" x14ac:dyDescent="0.25">
      <c r="A387">
        <v>18018</v>
      </c>
      <c r="B387" t="s">
        <v>37</v>
      </c>
      <c r="C387" t="s">
        <v>38</v>
      </c>
      <c r="D387" s="1">
        <v>30000</v>
      </c>
      <c r="E387">
        <v>3</v>
      </c>
      <c r="F387" t="s">
        <v>19</v>
      </c>
      <c r="G387" t="s">
        <v>20</v>
      </c>
      <c r="H387" t="s">
        <v>15</v>
      </c>
      <c r="I387">
        <v>0</v>
      </c>
      <c r="J387" t="s">
        <v>16</v>
      </c>
      <c r="K387" t="s">
        <v>17</v>
      </c>
      <c r="L387">
        <v>43</v>
      </c>
      <c r="M387" t="str">
        <f t="shared" ref="M387:M450" si="6">IF(L387&gt;55, "Old",IF(L387&gt;=31,"Middle Age",IF(L387&lt;31,"Youth","Invalid")))</f>
        <v>Middle Age</v>
      </c>
      <c r="N387" t="s">
        <v>18</v>
      </c>
    </row>
    <row r="388" spans="1:14" x14ac:dyDescent="0.25">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1">
        <v>30000</v>
      </c>
      <c r="E428">
        <v>0</v>
      </c>
      <c r="F428" t="s">
        <v>19</v>
      </c>
      <c r="G428" t="s">
        <v>20</v>
      </c>
      <c r="H428" t="s">
        <v>18</v>
      </c>
      <c r="I428">
        <v>1</v>
      </c>
      <c r="J428" t="s">
        <v>22</v>
      </c>
      <c r="K428" t="s">
        <v>17</v>
      </c>
      <c r="L428">
        <v>28</v>
      </c>
      <c r="M428" t="str">
        <f t="shared" si="6"/>
        <v>Youth</v>
      </c>
      <c r="N428" t="s">
        <v>18</v>
      </c>
    </row>
    <row r="429" spans="1:14" x14ac:dyDescent="0.2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1">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38</v>
      </c>
      <c r="D433" s="1">
        <v>20000</v>
      </c>
      <c r="E433">
        <v>0</v>
      </c>
      <c r="F433" t="s">
        <v>19</v>
      </c>
      <c r="G433" t="s">
        <v>25</v>
      </c>
      <c r="H433" t="s">
        <v>15</v>
      </c>
      <c r="I433">
        <v>0</v>
      </c>
      <c r="J433" t="s">
        <v>16</v>
      </c>
      <c r="K433" t="s">
        <v>24</v>
      </c>
      <c r="L433">
        <v>28</v>
      </c>
      <c r="M433" t="str">
        <f t="shared" si="6"/>
        <v>Youth</v>
      </c>
      <c r="N433" t="s">
        <v>15</v>
      </c>
    </row>
    <row r="434" spans="1:14" x14ac:dyDescent="0.25">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1">
        <v>30000</v>
      </c>
      <c r="E435">
        <v>3</v>
      </c>
      <c r="F435" t="s">
        <v>19</v>
      </c>
      <c r="G435" t="s">
        <v>20</v>
      </c>
      <c r="H435" t="s">
        <v>18</v>
      </c>
      <c r="I435">
        <v>1</v>
      </c>
      <c r="J435" t="s">
        <v>16</v>
      </c>
      <c r="K435" t="s">
        <v>17</v>
      </c>
      <c r="L435">
        <v>26</v>
      </c>
      <c r="M435" t="str">
        <f t="shared" si="6"/>
        <v>Youth</v>
      </c>
      <c r="N435" t="s">
        <v>18</v>
      </c>
    </row>
    <row r="436" spans="1:14" x14ac:dyDescent="0.2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1">
        <v>30000</v>
      </c>
      <c r="E439">
        <v>3</v>
      </c>
      <c r="F439" t="s">
        <v>19</v>
      </c>
      <c r="G439" t="s">
        <v>20</v>
      </c>
      <c r="H439" t="s">
        <v>15</v>
      </c>
      <c r="I439">
        <v>2</v>
      </c>
      <c r="J439" t="s">
        <v>16</v>
      </c>
      <c r="K439" t="s">
        <v>17</v>
      </c>
      <c r="L439">
        <v>28</v>
      </c>
      <c r="M439" t="str">
        <f t="shared" si="6"/>
        <v>Youth</v>
      </c>
      <c r="N439" t="s">
        <v>15</v>
      </c>
    </row>
    <row r="440" spans="1:14" x14ac:dyDescent="0.2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1">
        <v>40000</v>
      </c>
      <c r="E451">
        <v>1</v>
      </c>
      <c r="F451" t="s">
        <v>13</v>
      </c>
      <c r="G451" t="s">
        <v>14</v>
      </c>
      <c r="H451" t="s">
        <v>15</v>
      </c>
      <c r="I451">
        <v>0</v>
      </c>
      <c r="J451" t="s">
        <v>16</v>
      </c>
      <c r="K451" t="s">
        <v>17</v>
      </c>
      <c r="L451">
        <v>42</v>
      </c>
      <c r="M451" t="str">
        <f t="shared" ref="M451:M514" si="7">IF(L451&gt;55, "Old",IF(L451&gt;=31,"Middle Age",IF(L451&lt;31,"Youth","Invalid")))</f>
        <v>Middle Age</v>
      </c>
      <c r="N451" t="s">
        <v>18</v>
      </c>
    </row>
    <row r="452" spans="1:14" x14ac:dyDescent="0.2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1">
        <v>30000</v>
      </c>
      <c r="E472">
        <v>0</v>
      </c>
      <c r="F472" t="s">
        <v>27</v>
      </c>
      <c r="G472" t="s">
        <v>25</v>
      </c>
      <c r="H472" t="s">
        <v>18</v>
      </c>
      <c r="I472">
        <v>1</v>
      </c>
      <c r="J472" t="s">
        <v>26</v>
      </c>
      <c r="K472" t="s">
        <v>17</v>
      </c>
      <c r="L472">
        <v>28</v>
      </c>
      <c r="M472" t="str">
        <f t="shared" si="7"/>
        <v>Youth</v>
      </c>
      <c r="N472" t="s">
        <v>18</v>
      </c>
    </row>
    <row r="473" spans="1:14" x14ac:dyDescent="0.2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1">
        <v>40000</v>
      </c>
      <c r="E504">
        <v>0</v>
      </c>
      <c r="F504" t="s">
        <v>19</v>
      </c>
      <c r="G504" t="s">
        <v>14</v>
      </c>
      <c r="H504" t="s">
        <v>15</v>
      </c>
      <c r="I504">
        <v>1</v>
      </c>
      <c r="J504" t="s">
        <v>23</v>
      </c>
      <c r="K504" t="s">
        <v>32</v>
      </c>
      <c r="L504">
        <v>29</v>
      </c>
      <c r="M504" t="str">
        <f t="shared" si="7"/>
        <v>Youth</v>
      </c>
      <c r="N504" t="s">
        <v>18</v>
      </c>
    </row>
    <row r="505" spans="1:14" x14ac:dyDescent="0.2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1">
        <v>60000</v>
      </c>
      <c r="E510">
        <v>0</v>
      </c>
      <c r="F510" t="s">
        <v>19</v>
      </c>
      <c r="G510" t="s">
        <v>14</v>
      </c>
      <c r="H510" t="s">
        <v>18</v>
      </c>
      <c r="I510">
        <v>2</v>
      </c>
      <c r="J510" t="s">
        <v>26</v>
      </c>
      <c r="K510" t="s">
        <v>32</v>
      </c>
      <c r="L510">
        <v>29</v>
      </c>
      <c r="M510" t="str">
        <f t="shared" si="7"/>
        <v>Youth</v>
      </c>
      <c r="N510" t="s">
        <v>18</v>
      </c>
    </row>
    <row r="511" spans="1:14" x14ac:dyDescent="0.2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1">
        <v>60000</v>
      </c>
      <c r="E515">
        <v>4</v>
      </c>
      <c r="F515" t="s">
        <v>31</v>
      </c>
      <c r="G515" t="s">
        <v>28</v>
      </c>
      <c r="H515" t="s">
        <v>15</v>
      </c>
      <c r="I515">
        <v>2</v>
      </c>
      <c r="J515" t="s">
        <v>46</v>
      </c>
      <c r="K515" t="s">
        <v>32</v>
      </c>
      <c r="L515">
        <v>61</v>
      </c>
      <c r="M515" t="str">
        <f t="shared" ref="M515:M578" si="8">IF(L515&gt;55, "Old",IF(L515&gt;=31,"Middle Age",IF(L515&lt;31,"Youth","Invalid")))</f>
        <v>Old</v>
      </c>
      <c r="N515" t="s">
        <v>15</v>
      </c>
    </row>
    <row r="516" spans="1:14" x14ac:dyDescent="0.2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1">
        <v>30000</v>
      </c>
      <c r="E530">
        <v>0</v>
      </c>
      <c r="F530" t="s">
        <v>19</v>
      </c>
      <c r="G530" t="s">
        <v>14</v>
      </c>
      <c r="H530" t="s">
        <v>15</v>
      </c>
      <c r="I530">
        <v>1</v>
      </c>
      <c r="J530" t="s">
        <v>23</v>
      </c>
      <c r="K530" t="s">
        <v>32</v>
      </c>
      <c r="L530">
        <v>28</v>
      </c>
      <c r="M530" t="str">
        <f t="shared" si="8"/>
        <v>Youth</v>
      </c>
      <c r="N530" t="s">
        <v>18</v>
      </c>
    </row>
    <row r="531" spans="1:14" x14ac:dyDescent="0.25">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1">
        <v>60000</v>
      </c>
      <c r="E532">
        <v>0</v>
      </c>
      <c r="F532" t="s">
        <v>19</v>
      </c>
      <c r="G532" t="s">
        <v>14</v>
      </c>
      <c r="H532" t="s">
        <v>15</v>
      </c>
      <c r="I532">
        <v>1</v>
      </c>
      <c r="J532" t="s">
        <v>23</v>
      </c>
      <c r="K532" t="s">
        <v>32</v>
      </c>
      <c r="L532">
        <v>27</v>
      </c>
      <c r="M532" t="str">
        <f t="shared" si="8"/>
        <v>Youth</v>
      </c>
      <c r="N532" t="s">
        <v>15</v>
      </c>
    </row>
    <row r="533" spans="1:14" x14ac:dyDescent="0.25">
      <c r="A533">
        <v>14092</v>
      </c>
      <c r="B533" t="s">
        <v>37</v>
      </c>
      <c r="C533" t="s">
        <v>38</v>
      </c>
      <c r="D533" s="1">
        <v>30000</v>
      </c>
      <c r="E533">
        <v>0</v>
      </c>
      <c r="F533" t="s">
        <v>29</v>
      </c>
      <c r="G533" t="s">
        <v>20</v>
      </c>
      <c r="H533" t="s">
        <v>15</v>
      </c>
      <c r="I533">
        <v>2</v>
      </c>
      <c r="J533" t="s">
        <v>23</v>
      </c>
      <c r="K533" t="s">
        <v>32</v>
      </c>
      <c r="L533">
        <v>28</v>
      </c>
      <c r="M533" t="str">
        <f t="shared" si="8"/>
        <v>Youth</v>
      </c>
      <c r="N533" t="s">
        <v>18</v>
      </c>
    </row>
    <row r="534" spans="1:14" x14ac:dyDescent="0.2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1">
        <v>40000</v>
      </c>
      <c r="E544">
        <v>0</v>
      </c>
      <c r="F544" t="s">
        <v>27</v>
      </c>
      <c r="G544" t="s">
        <v>14</v>
      </c>
      <c r="H544" t="s">
        <v>15</v>
      </c>
      <c r="I544">
        <v>2</v>
      </c>
      <c r="J544" t="s">
        <v>23</v>
      </c>
      <c r="K544" t="s">
        <v>32</v>
      </c>
      <c r="L544">
        <v>29</v>
      </c>
      <c r="M544" t="str">
        <f t="shared" si="8"/>
        <v>Youth</v>
      </c>
      <c r="N544" t="s">
        <v>18</v>
      </c>
    </row>
    <row r="545" spans="1:14" x14ac:dyDescent="0.2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1">
        <v>60000</v>
      </c>
      <c r="E547">
        <v>0</v>
      </c>
      <c r="F547" t="s">
        <v>19</v>
      </c>
      <c r="G547" t="s">
        <v>14</v>
      </c>
      <c r="H547" t="s">
        <v>18</v>
      </c>
      <c r="I547">
        <v>2</v>
      </c>
      <c r="J547" t="s">
        <v>26</v>
      </c>
      <c r="K547" t="s">
        <v>32</v>
      </c>
      <c r="L547">
        <v>29</v>
      </c>
      <c r="M547" t="str">
        <f t="shared" si="8"/>
        <v>Youth</v>
      </c>
      <c r="N547" t="s">
        <v>18</v>
      </c>
    </row>
    <row r="548" spans="1:14" x14ac:dyDescent="0.2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1">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1">
        <v>30000</v>
      </c>
      <c r="E565">
        <v>0</v>
      </c>
      <c r="F565" t="s">
        <v>19</v>
      </c>
      <c r="G565" t="s">
        <v>14</v>
      </c>
      <c r="H565" t="s">
        <v>15</v>
      </c>
      <c r="I565">
        <v>1</v>
      </c>
      <c r="J565" t="s">
        <v>23</v>
      </c>
      <c r="K565" t="s">
        <v>32</v>
      </c>
      <c r="L565">
        <v>28</v>
      </c>
      <c r="M565" t="str">
        <f t="shared" si="8"/>
        <v>Youth</v>
      </c>
      <c r="N565" t="s">
        <v>18</v>
      </c>
    </row>
    <row r="566" spans="1:14" x14ac:dyDescent="0.25">
      <c r="A566">
        <v>17369</v>
      </c>
      <c r="B566" t="s">
        <v>37</v>
      </c>
      <c r="C566" t="s">
        <v>38</v>
      </c>
      <c r="D566" s="1">
        <v>30000</v>
      </c>
      <c r="E566">
        <v>0</v>
      </c>
      <c r="F566" t="s">
        <v>19</v>
      </c>
      <c r="G566" t="s">
        <v>14</v>
      </c>
      <c r="H566" t="s">
        <v>15</v>
      </c>
      <c r="I566">
        <v>1</v>
      </c>
      <c r="J566" t="s">
        <v>23</v>
      </c>
      <c r="K566" t="s">
        <v>32</v>
      </c>
      <c r="L566">
        <v>27</v>
      </c>
      <c r="M566" t="str">
        <f t="shared" si="8"/>
        <v>Youth</v>
      </c>
      <c r="N566" t="s">
        <v>18</v>
      </c>
    </row>
    <row r="567" spans="1:14" x14ac:dyDescent="0.2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1">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38</v>
      </c>
      <c r="D574" s="1">
        <v>30000</v>
      </c>
      <c r="E574">
        <v>0</v>
      </c>
      <c r="F574" t="s">
        <v>27</v>
      </c>
      <c r="G574" t="s">
        <v>14</v>
      </c>
      <c r="H574" t="s">
        <v>15</v>
      </c>
      <c r="I574">
        <v>2</v>
      </c>
      <c r="J574" t="s">
        <v>23</v>
      </c>
      <c r="K574" t="s">
        <v>32</v>
      </c>
      <c r="L574">
        <v>30</v>
      </c>
      <c r="M574" t="str">
        <f t="shared" si="8"/>
        <v>Youth</v>
      </c>
      <c r="N574" t="s">
        <v>18</v>
      </c>
    </row>
    <row r="575" spans="1:14" x14ac:dyDescent="0.2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1">
        <v>120000</v>
      </c>
      <c r="E579">
        <v>1</v>
      </c>
      <c r="F579" t="s">
        <v>13</v>
      </c>
      <c r="G579" t="s">
        <v>28</v>
      </c>
      <c r="H579" t="s">
        <v>15</v>
      </c>
      <c r="I579">
        <v>4</v>
      </c>
      <c r="J579" t="s">
        <v>16</v>
      </c>
      <c r="K579" t="s">
        <v>32</v>
      </c>
      <c r="L579">
        <v>38</v>
      </c>
      <c r="M579" t="str">
        <f t="shared" ref="M579:M642" si="9">IF(L579&gt;55, "Old",IF(L579&gt;=31,"Middle Age",IF(L579&lt;31,"Youth","Invalid")))</f>
        <v>Middle Age</v>
      </c>
      <c r="N579" t="s">
        <v>18</v>
      </c>
    </row>
    <row r="580" spans="1:14" x14ac:dyDescent="0.2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1">
        <v>40000</v>
      </c>
      <c r="E583">
        <v>0</v>
      </c>
      <c r="F583" t="s">
        <v>19</v>
      </c>
      <c r="G583" t="s">
        <v>14</v>
      </c>
      <c r="H583" t="s">
        <v>15</v>
      </c>
      <c r="I583">
        <v>1</v>
      </c>
      <c r="J583" t="s">
        <v>23</v>
      </c>
      <c r="K583" t="s">
        <v>32</v>
      </c>
      <c r="L583">
        <v>28</v>
      </c>
      <c r="M583" t="str">
        <f t="shared" si="9"/>
        <v>Youth</v>
      </c>
      <c r="N583" t="s">
        <v>18</v>
      </c>
    </row>
    <row r="584" spans="1:14" x14ac:dyDescent="0.2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1">
        <v>40000</v>
      </c>
      <c r="E606">
        <v>0</v>
      </c>
      <c r="F606" t="s">
        <v>27</v>
      </c>
      <c r="G606" t="s">
        <v>14</v>
      </c>
      <c r="H606" t="s">
        <v>15</v>
      </c>
      <c r="I606">
        <v>2</v>
      </c>
      <c r="J606" t="s">
        <v>23</v>
      </c>
      <c r="K606" t="s">
        <v>32</v>
      </c>
      <c r="L606">
        <v>27</v>
      </c>
      <c r="M606" t="str">
        <f t="shared" si="9"/>
        <v>Youth</v>
      </c>
      <c r="N606" t="s">
        <v>18</v>
      </c>
    </row>
    <row r="607" spans="1:14" x14ac:dyDescent="0.2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1">
        <v>30000</v>
      </c>
      <c r="E614">
        <v>0</v>
      </c>
      <c r="F614" t="s">
        <v>29</v>
      </c>
      <c r="G614" t="s">
        <v>20</v>
      </c>
      <c r="H614" t="s">
        <v>15</v>
      </c>
      <c r="I614">
        <v>2</v>
      </c>
      <c r="J614" t="s">
        <v>23</v>
      </c>
      <c r="K614" t="s">
        <v>32</v>
      </c>
      <c r="L614">
        <v>27</v>
      </c>
      <c r="M614" t="str">
        <f t="shared" si="9"/>
        <v>Youth</v>
      </c>
      <c r="N614" t="s">
        <v>18</v>
      </c>
    </row>
    <row r="615" spans="1:14" x14ac:dyDescent="0.2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1">
        <v>40000</v>
      </c>
      <c r="E621">
        <v>0</v>
      </c>
      <c r="F621" t="s">
        <v>27</v>
      </c>
      <c r="G621" t="s">
        <v>14</v>
      </c>
      <c r="H621" t="s">
        <v>15</v>
      </c>
      <c r="I621">
        <v>1</v>
      </c>
      <c r="J621" t="s">
        <v>23</v>
      </c>
      <c r="K621" t="s">
        <v>32</v>
      </c>
      <c r="L621">
        <v>30</v>
      </c>
      <c r="M621" t="str">
        <f t="shared" si="9"/>
        <v>Youth</v>
      </c>
      <c r="N621" t="s">
        <v>18</v>
      </c>
    </row>
    <row r="622" spans="1:14" x14ac:dyDescent="0.2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1">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39</v>
      </c>
      <c r="D626" s="1">
        <v>70000</v>
      </c>
      <c r="E626">
        <v>0</v>
      </c>
      <c r="F626" t="s">
        <v>19</v>
      </c>
      <c r="G626" t="s">
        <v>14</v>
      </c>
      <c r="H626" t="s">
        <v>18</v>
      </c>
      <c r="I626">
        <v>2</v>
      </c>
      <c r="J626" t="s">
        <v>16</v>
      </c>
      <c r="K626" t="s">
        <v>32</v>
      </c>
      <c r="L626">
        <v>27</v>
      </c>
      <c r="M626" t="str">
        <f t="shared" si="9"/>
        <v>Youth</v>
      </c>
      <c r="N626" t="s">
        <v>15</v>
      </c>
    </row>
    <row r="627" spans="1:14" x14ac:dyDescent="0.2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1">
        <v>60000</v>
      </c>
      <c r="E628">
        <v>0</v>
      </c>
      <c r="F628" t="s">
        <v>19</v>
      </c>
      <c r="G628" t="s">
        <v>14</v>
      </c>
      <c r="H628" t="s">
        <v>15</v>
      </c>
      <c r="I628">
        <v>2</v>
      </c>
      <c r="J628" t="s">
        <v>23</v>
      </c>
      <c r="K628" t="s">
        <v>32</v>
      </c>
      <c r="L628">
        <v>29</v>
      </c>
      <c r="M628" t="str">
        <f t="shared" si="9"/>
        <v>Youth</v>
      </c>
      <c r="N628" t="s">
        <v>18</v>
      </c>
    </row>
    <row r="629" spans="1:14" x14ac:dyDescent="0.2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1">
        <v>40000</v>
      </c>
      <c r="E632">
        <v>0</v>
      </c>
      <c r="F632" t="s">
        <v>27</v>
      </c>
      <c r="G632" t="s">
        <v>14</v>
      </c>
      <c r="H632" t="s">
        <v>18</v>
      </c>
      <c r="I632">
        <v>2</v>
      </c>
      <c r="J632" t="s">
        <v>26</v>
      </c>
      <c r="K632" t="s">
        <v>32</v>
      </c>
      <c r="L632">
        <v>30</v>
      </c>
      <c r="M632" t="str">
        <f t="shared" si="9"/>
        <v>Youth</v>
      </c>
      <c r="N632" t="s">
        <v>18</v>
      </c>
    </row>
    <row r="633" spans="1:14" x14ac:dyDescent="0.2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1">
        <v>40000</v>
      </c>
      <c r="E639">
        <v>0</v>
      </c>
      <c r="F639" t="s">
        <v>27</v>
      </c>
      <c r="G639" t="s">
        <v>14</v>
      </c>
      <c r="H639" t="s">
        <v>18</v>
      </c>
      <c r="I639">
        <v>2</v>
      </c>
      <c r="J639" t="s">
        <v>26</v>
      </c>
      <c r="K639" t="s">
        <v>32</v>
      </c>
      <c r="L639">
        <v>30</v>
      </c>
      <c r="M639" t="str">
        <f t="shared" si="9"/>
        <v>Youth</v>
      </c>
      <c r="N639" t="s">
        <v>18</v>
      </c>
    </row>
    <row r="640" spans="1:14" x14ac:dyDescent="0.2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1">
        <v>50000</v>
      </c>
      <c r="E643">
        <v>4</v>
      </c>
      <c r="F643" t="s">
        <v>13</v>
      </c>
      <c r="G643" t="s">
        <v>28</v>
      </c>
      <c r="H643" t="s">
        <v>15</v>
      </c>
      <c r="I643">
        <v>2</v>
      </c>
      <c r="J643" t="s">
        <v>46</v>
      </c>
      <c r="K643" t="s">
        <v>32</v>
      </c>
      <c r="L643">
        <v>64</v>
      </c>
      <c r="M643" t="str">
        <f t="shared" ref="M643:M706" si="10">IF(L643&gt;55, "Old",IF(L643&gt;=31,"Middle Age",IF(L643&lt;31,"Youth","Invalid")))</f>
        <v>Old</v>
      </c>
      <c r="N643" t="s">
        <v>18</v>
      </c>
    </row>
    <row r="644" spans="1:14" x14ac:dyDescent="0.2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1">
        <v>40000</v>
      </c>
      <c r="E663">
        <v>0</v>
      </c>
      <c r="F663" t="s">
        <v>27</v>
      </c>
      <c r="G663" t="s">
        <v>14</v>
      </c>
      <c r="H663" t="s">
        <v>18</v>
      </c>
      <c r="I663">
        <v>2</v>
      </c>
      <c r="J663" t="s">
        <v>16</v>
      </c>
      <c r="K663" t="s">
        <v>32</v>
      </c>
      <c r="L663">
        <v>28</v>
      </c>
      <c r="M663" t="str">
        <f t="shared" si="10"/>
        <v>Youth</v>
      </c>
      <c r="N663" t="s">
        <v>15</v>
      </c>
    </row>
    <row r="664" spans="1:14" x14ac:dyDescent="0.2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1">
        <v>40000</v>
      </c>
      <c r="E674">
        <v>0</v>
      </c>
      <c r="F674" t="s">
        <v>27</v>
      </c>
      <c r="G674" t="s">
        <v>14</v>
      </c>
      <c r="H674" t="s">
        <v>15</v>
      </c>
      <c r="I674">
        <v>2</v>
      </c>
      <c r="J674" t="s">
        <v>23</v>
      </c>
      <c r="K674" t="s">
        <v>32</v>
      </c>
      <c r="L674">
        <v>30</v>
      </c>
      <c r="M674" t="str">
        <f t="shared" si="10"/>
        <v>Youth</v>
      </c>
      <c r="N674" t="s">
        <v>18</v>
      </c>
    </row>
    <row r="675" spans="1:14" x14ac:dyDescent="0.2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1">
        <v>30000</v>
      </c>
      <c r="E689">
        <v>0</v>
      </c>
      <c r="F689" t="s">
        <v>19</v>
      </c>
      <c r="G689" t="s">
        <v>14</v>
      </c>
      <c r="H689" t="s">
        <v>15</v>
      </c>
      <c r="I689">
        <v>2</v>
      </c>
      <c r="J689" t="s">
        <v>23</v>
      </c>
      <c r="K689" t="s">
        <v>32</v>
      </c>
      <c r="L689">
        <v>30</v>
      </c>
      <c r="M689" t="str">
        <f t="shared" si="10"/>
        <v>Youth</v>
      </c>
      <c r="N689" t="s">
        <v>18</v>
      </c>
    </row>
    <row r="690" spans="1:14" x14ac:dyDescent="0.25">
      <c r="A690">
        <v>11699</v>
      </c>
      <c r="B690" t="s">
        <v>37</v>
      </c>
      <c r="C690" t="s">
        <v>38</v>
      </c>
      <c r="D690" s="1">
        <v>60000</v>
      </c>
      <c r="E690">
        <v>0</v>
      </c>
      <c r="F690" t="s">
        <v>13</v>
      </c>
      <c r="G690" t="s">
        <v>14</v>
      </c>
      <c r="H690" t="s">
        <v>18</v>
      </c>
      <c r="I690">
        <v>2</v>
      </c>
      <c r="J690" t="s">
        <v>16</v>
      </c>
      <c r="K690" t="s">
        <v>32</v>
      </c>
      <c r="L690">
        <v>30</v>
      </c>
      <c r="M690" t="str">
        <f t="shared" si="10"/>
        <v>Youth</v>
      </c>
      <c r="N690" t="s">
        <v>18</v>
      </c>
    </row>
    <row r="691" spans="1:14" x14ac:dyDescent="0.25">
      <c r="A691">
        <v>16725</v>
      </c>
      <c r="B691" t="s">
        <v>36</v>
      </c>
      <c r="C691" t="s">
        <v>38</v>
      </c>
      <c r="D691" s="1">
        <v>30000</v>
      </c>
      <c r="E691">
        <v>0</v>
      </c>
      <c r="F691" t="s">
        <v>27</v>
      </c>
      <c r="G691" t="s">
        <v>14</v>
      </c>
      <c r="H691" t="s">
        <v>15</v>
      </c>
      <c r="I691">
        <v>2</v>
      </c>
      <c r="J691" t="s">
        <v>23</v>
      </c>
      <c r="K691" t="s">
        <v>32</v>
      </c>
      <c r="L691">
        <v>26</v>
      </c>
      <c r="M691" t="str">
        <f t="shared" si="10"/>
        <v>Youth</v>
      </c>
      <c r="N691" t="s">
        <v>18</v>
      </c>
    </row>
    <row r="692" spans="1:14" x14ac:dyDescent="0.2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1">
        <v>60000</v>
      </c>
      <c r="E698">
        <v>0</v>
      </c>
      <c r="F698" t="s">
        <v>19</v>
      </c>
      <c r="G698" t="s">
        <v>21</v>
      </c>
      <c r="H698" t="s">
        <v>18</v>
      </c>
      <c r="I698">
        <v>2</v>
      </c>
      <c r="J698" t="s">
        <v>26</v>
      </c>
      <c r="K698" t="s">
        <v>32</v>
      </c>
      <c r="L698">
        <v>30</v>
      </c>
      <c r="M698" t="str">
        <f t="shared" si="10"/>
        <v>Youth</v>
      </c>
      <c r="N698" t="s">
        <v>18</v>
      </c>
    </row>
    <row r="699" spans="1:14" x14ac:dyDescent="0.25">
      <c r="A699">
        <v>14090</v>
      </c>
      <c r="B699" t="s">
        <v>36</v>
      </c>
      <c r="C699" t="s">
        <v>39</v>
      </c>
      <c r="D699" s="1">
        <v>30000</v>
      </c>
      <c r="E699">
        <v>0</v>
      </c>
      <c r="F699" t="s">
        <v>29</v>
      </c>
      <c r="G699" t="s">
        <v>20</v>
      </c>
      <c r="H699" t="s">
        <v>18</v>
      </c>
      <c r="I699">
        <v>2</v>
      </c>
      <c r="J699" t="s">
        <v>16</v>
      </c>
      <c r="K699" t="s">
        <v>32</v>
      </c>
      <c r="L699">
        <v>28</v>
      </c>
      <c r="M699" t="str">
        <f t="shared" si="10"/>
        <v>Youth</v>
      </c>
      <c r="N699" t="s">
        <v>18</v>
      </c>
    </row>
    <row r="700" spans="1:14" x14ac:dyDescent="0.2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1">
        <v>30000</v>
      </c>
      <c r="E703">
        <v>0</v>
      </c>
      <c r="F703" t="s">
        <v>27</v>
      </c>
      <c r="G703" t="s">
        <v>14</v>
      </c>
      <c r="H703" t="s">
        <v>15</v>
      </c>
      <c r="I703">
        <v>2</v>
      </c>
      <c r="J703" t="s">
        <v>23</v>
      </c>
      <c r="K703" t="s">
        <v>32</v>
      </c>
      <c r="L703">
        <v>26</v>
      </c>
      <c r="M703" t="str">
        <f t="shared" si="10"/>
        <v>Youth</v>
      </c>
      <c r="N703" t="s">
        <v>18</v>
      </c>
    </row>
    <row r="704" spans="1:14" x14ac:dyDescent="0.2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1">
        <v>70000</v>
      </c>
      <c r="E707">
        <v>4</v>
      </c>
      <c r="F707" t="s">
        <v>13</v>
      </c>
      <c r="G707" t="s">
        <v>28</v>
      </c>
      <c r="H707" t="s">
        <v>15</v>
      </c>
      <c r="I707">
        <v>1</v>
      </c>
      <c r="J707" t="s">
        <v>46</v>
      </c>
      <c r="K707" t="s">
        <v>32</v>
      </c>
      <c r="L707">
        <v>59</v>
      </c>
      <c r="M707" t="str">
        <f t="shared" ref="M707:M770" si="11">IF(L707&gt;55, "Old",IF(L707&gt;=31,"Middle Age",IF(L707&lt;31,"Youth","Invalid")))</f>
        <v>Old</v>
      </c>
      <c r="N707" t="s">
        <v>18</v>
      </c>
    </row>
    <row r="708" spans="1:14" x14ac:dyDescent="0.2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1">
        <v>40000</v>
      </c>
      <c r="E716">
        <v>0</v>
      </c>
      <c r="F716" t="s">
        <v>27</v>
      </c>
      <c r="G716" t="s">
        <v>14</v>
      </c>
      <c r="H716" t="s">
        <v>15</v>
      </c>
      <c r="I716">
        <v>2</v>
      </c>
      <c r="J716" t="s">
        <v>23</v>
      </c>
      <c r="K716" t="s">
        <v>32</v>
      </c>
      <c r="L716">
        <v>28</v>
      </c>
      <c r="M716" t="str">
        <f t="shared" si="11"/>
        <v>Youth</v>
      </c>
      <c r="N716" t="s">
        <v>15</v>
      </c>
    </row>
    <row r="717" spans="1:14" x14ac:dyDescent="0.2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1">
        <v>40000</v>
      </c>
      <c r="E730">
        <v>0</v>
      </c>
      <c r="F730" t="s">
        <v>27</v>
      </c>
      <c r="G730" t="s">
        <v>14</v>
      </c>
      <c r="H730" t="s">
        <v>15</v>
      </c>
      <c r="I730">
        <v>2</v>
      </c>
      <c r="J730" t="s">
        <v>23</v>
      </c>
      <c r="K730" t="s">
        <v>32</v>
      </c>
      <c r="L730">
        <v>27</v>
      </c>
      <c r="M730" t="str">
        <f t="shared" si="11"/>
        <v>Youth</v>
      </c>
      <c r="N730" t="s">
        <v>18</v>
      </c>
    </row>
    <row r="731" spans="1:14" x14ac:dyDescent="0.2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1">
        <v>30000</v>
      </c>
      <c r="E737">
        <v>0</v>
      </c>
      <c r="F737" t="s">
        <v>19</v>
      </c>
      <c r="G737" t="s">
        <v>14</v>
      </c>
      <c r="H737" t="s">
        <v>15</v>
      </c>
      <c r="I737">
        <v>1</v>
      </c>
      <c r="J737" t="s">
        <v>23</v>
      </c>
      <c r="K737" t="s">
        <v>32</v>
      </c>
      <c r="L737">
        <v>26</v>
      </c>
      <c r="M737" t="str">
        <f t="shared" si="11"/>
        <v>Youth</v>
      </c>
      <c r="N737" t="s">
        <v>18</v>
      </c>
    </row>
    <row r="738" spans="1:14" x14ac:dyDescent="0.2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1">
        <v>60000</v>
      </c>
      <c r="E741">
        <v>2</v>
      </c>
      <c r="F741" t="s">
        <v>19</v>
      </c>
      <c r="G741" t="s">
        <v>21</v>
      </c>
      <c r="H741" t="s">
        <v>15</v>
      </c>
      <c r="I741">
        <v>1</v>
      </c>
      <c r="J741" t="s">
        <v>46</v>
      </c>
      <c r="K741" t="s">
        <v>32</v>
      </c>
      <c r="L741">
        <v>55</v>
      </c>
      <c r="M741" t="str">
        <f t="shared" si="11"/>
        <v>Middle Age</v>
      </c>
      <c r="N741" t="s">
        <v>18</v>
      </c>
    </row>
    <row r="742" spans="1:14" x14ac:dyDescent="0.25">
      <c r="A742">
        <v>17657</v>
      </c>
      <c r="B742" t="s">
        <v>36</v>
      </c>
      <c r="C742" t="s">
        <v>38</v>
      </c>
      <c r="D742" s="1">
        <v>40000</v>
      </c>
      <c r="E742">
        <v>4</v>
      </c>
      <c r="F742" t="s">
        <v>19</v>
      </c>
      <c r="G742" t="s">
        <v>20</v>
      </c>
      <c r="H742" t="s">
        <v>18</v>
      </c>
      <c r="I742">
        <v>0</v>
      </c>
      <c r="J742" t="s">
        <v>16</v>
      </c>
      <c r="K742" t="s">
        <v>32</v>
      </c>
      <c r="L742">
        <v>30</v>
      </c>
      <c r="M742" t="str">
        <f t="shared" si="11"/>
        <v>Youth</v>
      </c>
      <c r="N742" t="s">
        <v>18</v>
      </c>
    </row>
    <row r="743" spans="1:14" x14ac:dyDescent="0.2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1">
        <v>30000</v>
      </c>
      <c r="E744">
        <v>0</v>
      </c>
      <c r="F744" t="s">
        <v>27</v>
      </c>
      <c r="G744" t="s">
        <v>14</v>
      </c>
      <c r="H744" t="s">
        <v>15</v>
      </c>
      <c r="I744">
        <v>2</v>
      </c>
      <c r="J744" t="s">
        <v>23</v>
      </c>
      <c r="K744" t="s">
        <v>32</v>
      </c>
      <c r="L744">
        <v>30</v>
      </c>
      <c r="M744" t="str">
        <f t="shared" si="11"/>
        <v>Youth</v>
      </c>
      <c r="N744" t="s">
        <v>18</v>
      </c>
    </row>
    <row r="745" spans="1:14" x14ac:dyDescent="0.2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1">
        <v>40000</v>
      </c>
      <c r="E755">
        <v>0</v>
      </c>
      <c r="F755" t="s">
        <v>19</v>
      </c>
      <c r="G755" t="s">
        <v>14</v>
      </c>
      <c r="H755" t="s">
        <v>18</v>
      </c>
      <c r="I755">
        <v>1</v>
      </c>
      <c r="J755" t="s">
        <v>26</v>
      </c>
      <c r="K755" t="s">
        <v>32</v>
      </c>
      <c r="L755">
        <v>27</v>
      </c>
      <c r="M755" t="str">
        <f t="shared" si="11"/>
        <v>Youth</v>
      </c>
      <c r="N755" t="s">
        <v>18</v>
      </c>
    </row>
    <row r="756" spans="1:14" x14ac:dyDescent="0.2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1">
        <v>60000</v>
      </c>
      <c r="E766">
        <v>0</v>
      </c>
      <c r="F766" t="s">
        <v>19</v>
      </c>
      <c r="G766" t="s">
        <v>14</v>
      </c>
      <c r="H766" t="s">
        <v>18</v>
      </c>
      <c r="I766">
        <v>1</v>
      </c>
      <c r="J766" t="s">
        <v>26</v>
      </c>
      <c r="K766" t="s">
        <v>32</v>
      </c>
      <c r="L766">
        <v>27</v>
      </c>
      <c r="M766" t="str">
        <f t="shared" si="11"/>
        <v>Youth</v>
      </c>
      <c r="N766" t="s">
        <v>18</v>
      </c>
    </row>
    <row r="767" spans="1:14" x14ac:dyDescent="0.2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1">
        <v>100000</v>
      </c>
      <c r="E771">
        <v>4</v>
      </c>
      <c r="F771" t="s">
        <v>13</v>
      </c>
      <c r="G771" t="s">
        <v>28</v>
      </c>
      <c r="H771" t="s">
        <v>15</v>
      </c>
      <c r="I771">
        <v>4</v>
      </c>
      <c r="J771" t="s">
        <v>16</v>
      </c>
      <c r="K771" t="s">
        <v>32</v>
      </c>
      <c r="L771">
        <v>40</v>
      </c>
      <c r="M771" t="str">
        <f t="shared" ref="M771:M834" si="12">IF(L771&gt;55, "Old",IF(L771&gt;=31,"Middle Age",IF(L771&lt;31,"Youth","Invalid")))</f>
        <v>Middle Age</v>
      </c>
      <c r="N771" t="s">
        <v>18</v>
      </c>
    </row>
    <row r="772" spans="1:14" x14ac:dyDescent="0.25">
      <c r="A772">
        <v>17699</v>
      </c>
      <c r="B772" t="s">
        <v>36</v>
      </c>
      <c r="C772" t="s">
        <v>38</v>
      </c>
      <c r="D772" s="1">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1">
        <v>40000</v>
      </c>
      <c r="E779">
        <v>0</v>
      </c>
      <c r="F779" t="s">
        <v>27</v>
      </c>
      <c r="G779" t="s">
        <v>14</v>
      </c>
      <c r="H779" t="s">
        <v>15</v>
      </c>
      <c r="I779">
        <v>2</v>
      </c>
      <c r="J779" t="s">
        <v>23</v>
      </c>
      <c r="K779" t="s">
        <v>32</v>
      </c>
      <c r="L779">
        <v>27</v>
      </c>
      <c r="M779" t="str">
        <f t="shared" si="12"/>
        <v>Youth</v>
      </c>
      <c r="N779" t="s">
        <v>18</v>
      </c>
    </row>
    <row r="780" spans="1:14" x14ac:dyDescent="0.2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1">
        <v>60000</v>
      </c>
      <c r="E782">
        <v>2</v>
      </c>
      <c r="F782" t="s">
        <v>19</v>
      </c>
      <c r="G782" t="s">
        <v>21</v>
      </c>
      <c r="H782" t="s">
        <v>15</v>
      </c>
      <c r="I782">
        <v>1</v>
      </c>
      <c r="J782" t="s">
        <v>46</v>
      </c>
      <c r="K782" t="s">
        <v>32</v>
      </c>
      <c r="L782">
        <v>55</v>
      </c>
      <c r="M782" t="str">
        <f t="shared" si="12"/>
        <v>Middle Age</v>
      </c>
      <c r="N782" t="s">
        <v>18</v>
      </c>
    </row>
    <row r="783" spans="1:14" x14ac:dyDescent="0.2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1">
        <v>40000</v>
      </c>
      <c r="E787">
        <v>0</v>
      </c>
      <c r="F787" t="s">
        <v>27</v>
      </c>
      <c r="G787" t="s">
        <v>14</v>
      </c>
      <c r="H787" t="s">
        <v>18</v>
      </c>
      <c r="I787">
        <v>2</v>
      </c>
      <c r="J787" t="s">
        <v>16</v>
      </c>
      <c r="K787" t="s">
        <v>32</v>
      </c>
      <c r="L787">
        <v>28</v>
      </c>
      <c r="M787" t="str">
        <f t="shared" si="12"/>
        <v>Youth</v>
      </c>
      <c r="N787" t="s">
        <v>15</v>
      </c>
    </row>
    <row r="788" spans="1:14" x14ac:dyDescent="0.2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1">
        <v>40000</v>
      </c>
      <c r="E793">
        <v>0</v>
      </c>
      <c r="F793" t="s">
        <v>27</v>
      </c>
      <c r="G793" t="s">
        <v>14</v>
      </c>
      <c r="H793" t="s">
        <v>15</v>
      </c>
      <c r="I793">
        <v>2</v>
      </c>
      <c r="J793" t="s">
        <v>23</v>
      </c>
      <c r="K793" t="s">
        <v>32</v>
      </c>
      <c r="L793">
        <v>28</v>
      </c>
      <c r="M793" t="str">
        <f t="shared" si="12"/>
        <v>Youth</v>
      </c>
      <c r="N793" t="s">
        <v>15</v>
      </c>
    </row>
    <row r="794" spans="1:14" x14ac:dyDescent="0.2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1">
        <v>60000</v>
      </c>
      <c r="E799">
        <v>0</v>
      </c>
      <c r="F799" t="s">
        <v>19</v>
      </c>
      <c r="G799" t="s">
        <v>14</v>
      </c>
      <c r="H799" t="s">
        <v>15</v>
      </c>
      <c r="I799">
        <v>1</v>
      </c>
      <c r="J799" t="s">
        <v>23</v>
      </c>
      <c r="K799" t="s">
        <v>32</v>
      </c>
      <c r="L799">
        <v>27</v>
      </c>
      <c r="M799" t="str">
        <f t="shared" si="12"/>
        <v>Youth</v>
      </c>
      <c r="N799" t="s">
        <v>15</v>
      </c>
    </row>
    <row r="800" spans="1:14" x14ac:dyDescent="0.25">
      <c r="A800">
        <v>22971</v>
      </c>
      <c r="B800" t="s">
        <v>37</v>
      </c>
      <c r="C800" t="s">
        <v>39</v>
      </c>
      <c r="D800" s="1">
        <v>30000</v>
      </c>
      <c r="E800">
        <v>0</v>
      </c>
      <c r="F800" t="s">
        <v>27</v>
      </c>
      <c r="G800" t="s">
        <v>14</v>
      </c>
      <c r="H800" t="s">
        <v>18</v>
      </c>
      <c r="I800">
        <v>2</v>
      </c>
      <c r="J800" t="s">
        <v>16</v>
      </c>
      <c r="K800" t="s">
        <v>32</v>
      </c>
      <c r="L800">
        <v>25</v>
      </c>
      <c r="M800" t="str">
        <f t="shared" si="12"/>
        <v>Youth</v>
      </c>
      <c r="N800" t="s">
        <v>15</v>
      </c>
    </row>
    <row r="801" spans="1:14" x14ac:dyDescent="0.2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1">
        <v>40000</v>
      </c>
      <c r="E804">
        <v>0</v>
      </c>
      <c r="F804" t="s">
        <v>19</v>
      </c>
      <c r="G804" t="s">
        <v>14</v>
      </c>
      <c r="H804" t="s">
        <v>15</v>
      </c>
      <c r="I804">
        <v>1</v>
      </c>
      <c r="J804" t="s">
        <v>23</v>
      </c>
      <c r="K804" t="s">
        <v>32</v>
      </c>
      <c r="L804">
        <v>27</v>
      </c>
      <c r="M804" t="str">
        <f t="shared" si="12"/>
        <v>Youth</v>
      </c>
      <c r="N804" t="s">
        <v>18</v>
      </c>
    </row>
    <row r="805" spans="1:14" x14ac:dyDescent="0.25">
      <c r="A805">
        <v>15255</v>
      </c>
      <c r="B805" t="s">
        <v>36</v>
      </c>
      <c r="C805" t="s">
        <v>38</v>
      </c>
      <c r="D805" s="1">
        <v>40000</v>
      </c>
      <c r="E805">
        <v>0</v>
      </c>
      <c r="F805" t="s">
        <v>27</v>
      </c>
      <c r="G805" t="s">
        <v>14</v>
      </c>
      <c r="H805" t="s">
        <v>15</v>
      </c>
      <c r="I805">
        <v>2</v>
      </c>
      <c r="J805" t="s">
        <v>23</v>
      </c>
      <c r="K805" t="s">
        <v>32</v>
      </c>
      <c r="L805">
        <v>28</v>
      </c>
      <c r="M805" t="str">
        <f t="shared" si="12"/>
        <v>Youth</v>
      </c>
      <c r="N805" t="s">
        <v>15</v>
      </c>
    </row>
    <row r="806" spans="1:14" x14ac:dyDescent="0.25">
      <c r="A806">
        <v>13154</v>
      </c>
      <c r="B806" t="s">
        <v>36</v>
      </c>
      <c r="C806" t="s">
        <v>38</v>
      </c>
      <c r="D806" s="1">
        <v>40000</v>
      </c>
      <c r="E806">
        <v>0</v>
      </c>
      <c r="F806" t="s">
        <v>27</v>
      </c>
      <c r="G806" t="s">
        <v>14</v>
      </c>
      <c r="H806" t="s">
        <v>18</v>
      </c>
      <c r="I806">
        <v>2</v>
      </c>
      <c r="J806" t="s">
        <v>16</v>
      </c>
      <c r="K806" t="s">
        <v>32</v>
      </c>
      <c r="L806">
        <v>27</v>
      </c>
      <c r="M806" t="str">
        <f t="shared" si="12"/>
        <v>Youth</v>
      </c>
      <c r="N806" t="s">
        <v>15</v>
      </c>
    </row>
    <row r="807" spans="1:14" x14ac:dyDescent="0.2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1">
        <v>40000</v>
      </c>
      <c r="E817">
        <v>0</v>
      </c>
      <c r="F817" t="s">
        <v>19</v>
      </c>
      <c r="G817" t="s">
        <v>14</v>
      </c>
      <c r="H817" t="s">
        <v>18</v>
      </c>
      <c r="I817">
        <v>2</v>
      </c>
      <c r="J817" t="s">
        <v>26</v>
      </c>
      <c r="K817" t="s">
        <v>32</v>
      </c>
      <c r="L817">
        <v>30</v>
      </c>
      <c r="M817" t="str">
        <f t="shared" si="12"/>
        <v>Youth</v>
      </c>
      <c r="N817" t="s">
        <v>18</v>
      </c>
    </row>
    <row r="818" spans="1:14" x14ac:dyDescent="0.2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1">
        <v>40000</v>
      </c>
      <c r="E820">
        <v>0</v>
      </c>
      <c r="F820" t="s">
        <v>19</v>
      </c>
      <c r="G820" t="s">
        <v>14</v>
      </c>
      <c r="H820" t="s">
        <v>15</v>
      </c>
      <c r="I820">
        <v>1</v>
      </c>
      <c r="J820" t="s">
        <v>23</v>
      </c>
      <c r="K820" t="s">
        <v>32</v>
      </c>
      <c r="L820">
        <v>30</v>
      </c>
      <c r="M820" t="str">
        <f t="shared" si="12"/>
        <v>Youth</v>
      </c>
      <c r="N820" t="s">
        <v>18</v>
      </c>
    </row>
    <row r="821" spans="1:14" x14ac:dyDescent="0.25">
      <c r="A821">
        <v>27505</v>
      </c>
      <c r="B821" t="s">
        <v>37</v>
      </c>
      <c r="C821" t="s">
        <v>39</v>
      </c>
      <c r="D821" s="1">
        <v>40000</v>
      </c>
      <c r="E821">
        <v>0</v>
      </c>
      <c r="F821" t="s">
        <v>27</v>
      </c>
      <c r="G821" t="s">
        <v>14</v>
      </c>
      <c r="H821" t="s">
        <v>15</v>
      </c>
      <c r="I821">
        <v>2</v>
      </c>
      <c r="J821" t="s">
        <v>23</v>
      </c>
      <c r="K821" t="s">
        <v>32</v>
      </c>
      <c r="L821">
        <v>30</v>
      </c>
      <c r="M821" t="str">
        <f t="shared" si="12"/>
        <v>Youth</v>
      </c>
      <c r="N821" t="s">
        <v>18</v>
      </c>
    </row>
    <row r="822" spans="1:14" x14ac:dyDescent="0.2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1">
        <v>40000</v>
      </c>
      <c r="E830">
        <v>0</v>
      </c>
      <c r="F830" t="s">
        <v>29</v>
      </c>
      <c r="G830" t="s">
        <v>20</v>
      </c>
      <c r="H830" t="s">
        <v>15</v>
      </c>
      <c r="I830">
        <v>2</v>
      </c>
      <c r="J830" t="s">
        <v>23</v>
      </c>
      <c r="K830" t="s">
        <v>32</v>
      </c>
      <c r="L830">
        <v>26</v>
      </c>
      <c r="M830" t="str">
        <f t="shared" si="12"/>
        <v>Youth</v>
      </c>
      <c r="N830" t="s">
        <v>18</v>
      </c>
    </row>
    <row r="831" spans="1:14" x14ac:dyDescent="0.2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1">
        <v>70000</v>
      </c>
      <c r="E835">
        <v>0</v>
      </c>
      <c r="F835" t="s">
        <v>13</v>
      </c>
      <c r="G835" t="s">
        <v>21</v>
      </c>
      <c r="H835" t="s">
        <v>18</v>
      </c>
      <c r="I835">
        <v>1</v>
      </c>
      <c r="J835" t="s">
        <v>16</v>
      </c>
      <c r="K835" t="s">
        <v>32</v>
      </c>
      <c r="L835">
        <v>37</v>
      </c>
      <c r="M835" t="str">
        <f t="shared" ref="M835:M898" si="13">IF(L835&gt;55, "Old",IF(L835&gt;=31,"Middle Age",IF(L835&lt;31,"Youth","Invalid")))</f>
        <v>Middle Age</v>
      </c>
      <c r="N835" t="s">
        <v>15</v>
      </c>
    </row>
    <row r="836" spans="1:14" x14ac:dyDescent="0.2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1">
        <v>40000</v>
      </c>
      <c r="E838">
        <v>0</v>
      </c>
      <c r="F838" t="s">
        <v>19</v>
      </c>
      <c r="G838" t="s">
        <v>14</v>
      </c>
      <c r="H838" t="s">
        <v>15</v>
      </c>
      <c r="I838">
        <v>2</v>
      </c>
      <c r="J838" t="s">
        <v>23</v>
      </c>
      <c r="K838" t="s">
        <v>32</v>
      </c>
      <c r="L838">
        <v>28</v>
      </c>
      <c r="M838" t="str">
        <f t="shared" si="13"/>
        <v>Youth</v>
      </c>
      <c r="N838" t="s">
        <v>18</v>
      </c>
    </row>
    <row r="839" spans="1:14" x14ac:dyDescent="0.2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1">
        <v>40000</v>
      </c>
      <c r="E849">
        <v>0</v>
      </c>
      <c r="F849" t="s">
        <v>29</v>
      </c>
      <c r="G849" t="s">
        <v>20</v>
      </c>
      <c r="H849" t="s">
        <v>15</v>
      </c>
      <c r="I849">
        <v>2</v>
      </c>
      <c r="J849" t="s">
        <v>23</v>
      </c>
      <c r="K849" t="s">
        <v>32</v>
      </c>
      <c r="L849">
        <v>29</v>
      </c>
      <c r="M849" t="str">
        <f t="shared" si="13"/>
        <v>Youth</v>
      </c>
      <c r="N849" t="s">
        <v>18</v>
      </c>
    </row>
    <row r="850" spans="1:14" x14ac:dyDescent="0.2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1">
        <v>40000</v>
      </c>
      <c r="E858">
        <v>0</v>
      </c>
      <c r="F858" t="s">
        <v>19</v>
      </c>
      <c r="G858" t="s">
        <v>14</v>
      </c>
      <c r="H858" t="s">
        <v>15</v>
      </c>
      <c r="I858">
        <v>1</v>
      </c>
      <c r="J858" t="s">
        <v>23</v>
      </c>
      <c r="K858" t="s">
        <v>32</v>
      </c>
      <c r="L858">
        <v>27</v>
      </c>
      <c r="M858" t="str">
        <f t="shared" si="13"/>
        <v>Youth</v>
      </c>
      <c r="N858" t="s">
        <v>18</v>
      </c>
    </row>
    <row r="859" spans="1:14" x14ac:dyDescent="0.2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1">
        <v>60000</v>
      </c>
      <c r="E868">
        <v>2</v>
      </c>
      <c r="F868" t="s">
        <v>27</v>
      </c>
      <c r="G868" t="s">
        <v>21</v>
      </c>
      <c r="H868" t="s">
        <v>15</v>
      </c>
      <c r="I868">
        <v>2</v>
      </c>
      <c r="J868" t="s">
        <v>46</v>
      </c>
      <c r="K868" t="s">
        <v>32</v>
      </c>
      <c r="L868">
        <v>55</v>
      </c>
      <c r="M868" t="str">
        <f t="shared" si="13"/>
        <v>Middle Age</v>
      </c>
      <c r="N868" t="s">
        <v>18</v>
      </c>
    </row>
    <row r="869" spans="1:14" x14ac:dyDescent="0.2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1">
        <v>60000</v>
      </c>
      <c r="E873">
        <v>2</v>
      </c>
      <c r="F873" t="s">
        <v>27</v>
      </c>
      <c r="G873" t="s">
        <v>21</v>
      </c>
      <c r="H873" t="s">
        <v>15</v>
      </c>
      <c r="I873">
        <v>2</v>
      </c>
      <c r="J873" t="s">
        <v>46</v>
      </c>
      <c r="K873" t="s">
        <v>32</v>
      </c>
      <c r="L873">
        <v>55</v>
      </c>
      <c r="M873" t="str">
        <f t="shared" si="13"/>
        <v>Middle Age</v>
      </c>
      <c r="N873" t="s">
        <v>18</v>
      </c>
    </row>
    <row r="874" spans="1:14" x14ac:dyDescent="0.2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1">
        <v>30000</v>
      </c>
      <c r="E878">
        <v>0</v>
      </c>
      <c r="F878" t="s">
        <v>29</v>
      </c>
      <c r="G878" t="s">
        <v>20</v>
      </c>
      <c r="H878" t="s">
        <v>18</v>
      </c>
      <c r="I878">
        <v>2</v>
      </c>
      <c r="J878" t="s">
        <v>16</v>
      </c>
      <c r="K878" t="s">
        <v>32</v>
      </c>
      <c r="L878">
        <v>26</v>
      </c>
      <c r="M878" t="str">
        <f t="shared" si="13"/>
        <v>Youth</v>
      </c>
      <c r="N878" t="s">
        <v>18</v>
      </c>
    </row>
    <row r="879" spans="1:14" x14ac:dyDescent="0.2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1">
        <v>30000</v>
      </c>
      <c r="E899">
        <v>0</v>
      </c>
      <c r="F899" t="s">
        <v>29</v>
      </c>
      <c r="G899" t="s">
        <v>20</v>
      </c>
      <c r="H899" t="s">
        <v>18</v>
      </c>
      <c r="I899">
        <v>2</v>
      </c>
      <c r="J899" t="s">
        <v>16</v>
      </c>
      <c r="K899" t="s">
        <v>32</v>
      </c>
      <c r="L899">
        <v>28</v>
      </c>
      <c r="M899" t="str">
        <f t="shared" ref="M899:M962" si="14">IF(L899&gt;55, "Old",IF(L899&gt;=31,"Middle Age",IF(L899&lt;31,"Youth","Invalid")))</f>
        <v>Youth</v>
      </c>
      <c r="N899" t="s">
        <v>18</v>
      </c>
    </row>
    <row r="900" spans="1:14" x14ac:dyDescent="0.25">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1">
        <v>40000</v>
      </c>
      <c r="E934">
        <v>0</v>
      </c>
      <c r="F934" t="s">
        <v>27</v>
      </c>
      <c r="G934" t="s">
        <v>14</v>
      </c>
      <c r="H934" t="s">
        <v>18</v>
      </c>
      <c r="I934">
        <v>2</v>
      </c>
      <c r="J934" t="s">
        <v>16</v>
      </c>
      <c r="K934" t="s">
        <v>32</v>
      </c>
      <c r="L934">
        <v>27</v>
      </c>
      <c r="M934" t="str">
        <f t="shared" si="14"/>
        <v>Youth</v>
      </c>
      <c r="N934" t="s">
        <v>15</v>
      </c>
    </row>
    <row r="935" spans="1:14" x14ac:dyDescent="0.25">
      <c r="A935">
        <v>11941</v>
      </c>
      <c r="B935" t="s">
        <v>37</v>
      </c>
      <c r="C935" t="s">
        <v>38</v>
      </c>
      <c r="D935" s="1">
        <v>60000</v>
      </c>
      <c r="E935">
        <v>0</v>
      </c>
      <c r="F935" t="s">
        <v>19</v>
      </c>
      <c r="G935" t="s">
        <v>14</v>
      </c>
      <c r="H935" t="s">
        <v>15</v>
      </c>
      <c r="I935">
        <v>0</v>
      </c>
      <c r="J935" t="s">
        <v>23</v>
      </c>
      <c r="K935" t="s">
        <v>32</v>
      </c>
      <c r="L935">
        <v>29</v>
      </c>
      <c r="M935" t="str">
        <f t="shared" si="14"/>
        <v>Youth</v>
      </c>
      <c r="N935" t="s">
        <v>18</v>
      </c>
    </row>
    <row r="936" spans="1:14" x14ac:dyDescent="0.2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1">
        <v>40000</v>
      </c>
      <c r="E940">
        <v>0</v>
      </c>
      <c r="F940" t="s">
        <v>27</v>
      </c>
      <c r="G940" t="s">
        <v>14</v>
      </c>
      <c r="H940" t="s">
        <v>15</v>
      </c>
      <c r="I940">
        <v>2</v>
      </c>
      <c r="J940" t="s">
        <v>23</v>
      </c>
      <c r="K940" t="s">
        <v>32</v>
      </c>
      <c r="L940">
        <v>27</v>
      </c>
      <c r="M940" t="str">
        <f t="shared" si="14"/>
        <v>Youth</v>
      </c>
      <c r="N940" t="s">
        <v>18</v>
      </c>
    </row>
    <row r="941" spans="1:14" x14ac:dyDescent="0.2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1">
        <v>40000</v>
      </c>
      <c r="E955">
        <v>3</v>
      </c>
      <c r="F955" t="s">
        <v>19</v>
      </c>
      <c r="G955" t="s">
        <v>20</v>
      </c>
      <c r="H955" t="s">
        <v>15</v>
      </c>
      <c r="I955">
        <v>1</v>
      </c>
      <c r="J955" t="s">
        <v>26</v>
      </c>
      <c r="K955" t="s">
        <v>32</v>
      </c>
      <c r="L955">
        <v>30</v>
      </c>
      <c r="M955" t="str">
        <f t="shared" si="14"/>
        <v>Youth</v>
      </c>
      <c r="N955" t="s">
        <v>15</v>
      </c>
    </row>
    <row r="956" spans="1:14" x14ac:dyDescent="0.2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1">
        <v>60000</v>
      </c>
      <c r="E959">
        <v>0</v>
      </c>
      <c r="F959" t="s">
        <v>19</v>
      </c>
      <c r="G959" t="s">
        <v>21</v>
      </c>
      <c r="H959" t="s">
        <v>15</v>
      </c>
      <c r="I959">
        <v>2</v>
      </c>
      <c r="J959" t="s">
        <v>23</v>
      </c>
      <c r="K959" t="s">
        <v>32</v>
      </c>
      <c r="L959">
        <v>30</v>
      </c>
      <c r="M959" t="str">
        <f t="shared" si="14"/>
        <v>Youth</v>
      </c>
      <c r="N959" t="s">
        <v>18</v>
      </c>
    </row>
    <row r="960" spans="1:14" x14ac:dyDescent="0.2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1">
        <v>120000</v>
      </c>
      <c r="E963">
        <v>2</v>
      </c>
      <c r="F963" t="s">
        <v>13</v>
      </c>
      <c r="G963" t="s">
        <v>28</v>
      </c>
      <c r="H963" t="s">
        <v>15</v>
      </c>
      <c r="I963">
        <v>3</v>
      </c>
      <c r="J963" t="s">
        <v>23</v>
      </c>
      <c r="K963" t="s">
        <v>32</v>
      </c>
      <c r="L963">
        <v>62</v>
      </c>
      <c r="M963" t="str">
        <f t="shared" ref="M963:M1001" si="15">IF(L963&gt;55, "Old",IF(L963&gt;=31,"Middle Age",IF(L963&lt;31,"Youth","Invalid")))</f>
        <v>Old</v>
      </c>
      <c r="N963" t="s">
        <v>18</v>
      </c>
    </row>
    <row r="964" spans="1:14" x14ac:dyDescent="0.25">
      <c r="A964">
        <v>16813</v>
      </c>
      <c r="B964" t="s">
        <v>36</v>
      </c>
      <c r="C964" t="s">
        <v>38</v>
      </c>
      <c r="D964" s="1">
        <v>60000</v>
      </c>
      <c r="E964">
        <v>2</v>
      </c>
      <c r="F964" t="s">
        <v>19</v>
      </c>
      <c r="G964" t="s">
        <v>21</v>
      </c>
      <c r="H964" t="s">
        <v>15</v>
      </c>
      <c r="I964">
        <v>2</v>
      </c>
      <c r="J964" t="s">
        <v>46</v>
      </c>
      <c r="K964" t="s">
        <v>32</v>
      </c>
      <c r="L964">
        <v>55</v>
      </c>
      <c r="M964" t="str">
        <f t="shared" si="15"/>
        <v>Middle Age</v>
      </c>
      <c r="N964" t="s">
        <v>18</v>
      </c>
    </row>
    <row r="965" spans="1:14" x14ac:dyDescent="0.2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1">
        <v>30000</v>
      </c>
      <c r="E970">
        <v>0</v>
      </c>
      <c r="F970" t="s">
        <v>29</v>
      </c>
      <c r="G970" t="s">
        <v>20</v>
      </c>
      <c r="H970" t="s">
        <v>18</v>
      </c>
      <c r="I970">
        <v>2</v>
      </c>
      <c r="J970" t="s">
        <v>23</v>
      </c>
      <c r="K970" t="s">
        <v>32</v>
      </c>
      <c r="L970">
        <v>27</v>
      </c>
      <c r="M970" t="str">
        <f t="shared" si="15"/>
        <v>Youth</v>
      </c>
      <c r="N970" t="s">
        <v>18</v>
      </c>
    </row>
    <row r="971" spans="1:14" x14ac:dyDescent="0.2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1">
        <v>30000</v>
      </c>
      <c r="E992">
        <v>0</v>
      </c>
      <c r="F992" t="s">
        <v>27</v>
      </c>
      <c r="G992" t="s">
        <v>14</v>
      </c>
      <c r="H992" t="s">
        <v>18</v>
      </c>
      <c r="I992">
        <v>2</v>
      </c>
      <c r="J992" t="s">
        <v>23</v>
      </c>
      <c r="K992" t="s">
        <v>32</v>
      </c>
      <c r="L992">
        <v>26</v>
      </c>
      <c r="M992" t="str">
        <f t="shared" si="15"/>
        <v>Youth</v>
      </c>
      <c r="N992" t="s">
        <v>18</v>
      </c>
    </row>
    <row r="993" spans="1:14" x14ac:dyDescent="0.2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sheetData>
  <autoFilter ref="A1:N1001" xr:uid="{096D2EE1-690E-4F91-A033-63C29A0676CB}"/>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356B3-F8DB-474E-B36F-E375A0B75621}">
  <dimension ref="A1:P4"/>
  <sheetViews>
    <sheetView showGridLines="0" tabSelected="1" workbookViewId="0">
      <selection activeCell="T4" sqref="T4"/>
    </sheetView>
  </sheetViews>
  <sheetFormatPr defaultRowHeight="15" x14ac:dyDescent="0.25"/>
  <cols>
    <col min="10" max="10" width="9.140625" customWidth="1"/>
  </cols>
  <sheetData>
    <row r="1" spans="1:16" ht="15" customHeight="1" x14ac:dyDescent="0.25">
      <c r="A1" s="10" t="s">
        <v>49</v>
      </c>
      <c r="B1" s="10"/>
      <c r="C1" s="10"/>
      <c r="D1" s="10"/>
      <c r="E1" s="10"/>
      <c r="F1" s="10"/>
      <c r="G1" s="10"/>
      <c r="H1" s="10"/>
      <c r="I1" s="10"/>
      <c r="J1" s="10"/>
      <c r="K1" s="10"/>
      <c r="L1" s="10"/>
      <c r="M1" s="10"/>
      <c r="N1" s="9"/>
      <c r="O1" s="9"/>
      <c r="P1" s="9"/>
    </row>
    <row r="2" spans="1:16" ht="15" customHeight="1" x14ac:dyDescent="0.25">
      <c r="A2" s="10"/>
      <c r="B2" s="10"/>
      <c r="C2" s="10"/>
      <c r="D2" s="10"/>
      <c r="E2" s="10"/>
      <c r="F2" s="10"/>
      <c r="G2" s="10"/>
      <c r="H2" s="10"/>
      <c r="I2" s="10"/>
      <c r="J2" s="10"/>
      <c r="K2" s="10"/>
      <c r="L2" s="10"/>
      <c r="M2" s="10"/>
      <c r="N2" s="9"/>
      <c r="O2" s="9"/>
      <c r="P2" s="9"/>
    </row>
    <row r="3" spans="1:16" ht="15" customHeight="1" x14ac:dyDescent="0.25">
      <c r="A3" s="10"/>
      <c r="B3" s="10"/>
      <c r="C3" s="10"/>
      <c r="D3" s="10"/>
      <c r="E3" s="10"/>
      <c r="F3" s="10"/>
      <c r="G3" s="10"/>
      <c r="H3" s="10"/>
      <c r="I3" s="10"/>
      <c r="J3" s="10"/>
      <c r="K3" s="10"/>
      <c r="L3" s="10"/>
      <c r="M3" s="10"/>
      <c r="N3" s="9"/>
      <c r="O3" s="9"/>
      <c r="P3" s="9"/>
    </row>
    <row r="4" spans="1:16" ht="15" customHeight="1" x14ac:dyDescent="0.25">
      <c r="A4" s="10"/>
      <c r="B4" s="10"/>
      <c r="C4" s="10"/>
      <c r="D4" s="10"/>
      <c r="E4" s="10"/>
      <c r="F4" s="10"/>
      <c r="G4" s="10"/>
      <c r="H4" s="10"/>
      <c r="I4" s="10"/>
      <c r="J4" s="10"/>
      <c r="K4" s="10"/>
      <c r="L4" s="10"/>
      <c r="M4" s="10"/>
      <c r="N4" s="9"/>
      <c r="O4" s="9"/>
      <c r="P4" s="9"/>
    </row>
  </sheetData>
  <mergeCells count="1">
    <mergeCell ref="A1:M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ABECF-F211-4413-B679-EB5ACC99D67E}">
  <dimension ref="A1:D102"/>
  <sheetViews>
    <sheetView topLeftCell="A25" workbookViewId="0">
      <selection activeCell="R54" sqref="R54"/>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6" t="s">
        <v>43</v>
      </c>
      <c r="B1" s="6" t="s">
        <v>44</v>
      </c>
    </row>
    <row r="2" spans="1:4" x14ac:dyDescent="0.25">
      <c r="A2" s="6" t="s">
        <v>41</v>
      </c>
      <c r="B2" t="s">
        <v>18</v>
      </c>
      <c r="C2" t="s">
        <v>15</v>
      </c>
      <c r="D2" t="s">
        <v>42</v>
      </c>
    </row>
    <row r="3" spans="1:4" x14ac:dyDescent="0.25">
      <c r="A3" s="7" t="s">
        <v>39</v>
      </c>
      <c r="B3" s="8">
        <v>56774.193548387098</v>
      </c>
      <c r="C3" s="8">
        <v>57668.161434977577</v>
      </c>
      <c r="D3" s="8">
        <v>57227.272727272728</v>
      </c>
    </row>
    <row r="4" spans="1:4" x14ac:dyDescent="0.25">
      <c r="A4" s="7" t="s">
        <v>38</v>
      </c>
      <c r="B4" s="8">
        <v>59307.359307359307</v>
      </c>
      <c r="C4" s="8">
        <v>63105.022831050228</v>
      </c>
      <c r="D4" s="8">
        <v>61155.555555555555</v>
      </c>
    </row>
    <row r="5" spans="1:4" x14ac:dyDescent="0.25">
      <c r="A5" s="7" t="s">
        <v>42</v>
      </c>
      <c r="B5" s="8">
        <v>58080.357142857145</v>
      </c>
      <c r="C5" s="8">
        <v>60361.990950226245</v>
      </c>
      <c r="D5" s="8">
        <v>59213.483146067418</v>
      </c>
    </row>
    <row r="17" spans="1:4" x14ac:dyDescent="0.25">
      <c r="A17" s="6" t="s">
        <v>45</v>
      </c>
      <c r="B17" s="6" t="s">
        <v>44</v>
      </c>
    </row>
    <row r="18" spans="1:4" x14ac:dyDescent="0.25">
      <c r="A18" s="6" t="s">
        <v>41</v>
      </c>
      <c r="B18" t="s">
        <v>18</v>
      </c>
      <c r="C18" t="s">
        <v>15</v>
      </c>
      <c r="D18" t="s">
        <v>42</v>
      </c>
    </row>
    <row r="19" spans="1:4" x14ac:dyDescent="0.25">
      <c r="A19" s="7" t="s">
        <v>16</v>
      </c>
      <c r="B19" s="5">
        <v>153</v>
      </c>
      <c r="C19" s="5">
        <v>174</v>
      </c>
      <c r="D19" s="5">
        <v>327</v>
      </c>
    </row>
    <row r="20" spans="1:4" x14ac:dyDescent="0.25">
      <c r="A20" s="7" t="s">
        <v>26</v>
      </c>
      <c r="B20" s="5">
        <v>80</v>
      </c>
      <c r="C20" s="5">
        <v>73</v>
      </c>
      <c r="D20" s="5">
        <v>153</v>
      </c>
    </row>
    <row r="21" spans="1:4" x14ac:dyDescent="0.25">
      <c r="A21" s="7" t="s">
        <v>22</v>
      </c>
      <c r="B21" s="5">
        <v>54</v>
      </c>
      <c r="C21" s="5">
        <v>93</v>
      </c>
      <c r="D21" s="5">
        <v>147</v>
      </c>
    </row>
    <row r="22" spans="1:4" x14ac:dyDescent="0.25">
      <c r="A22" s="7" t="s">
        <v>23</v>
      </c>
      <c r="B22" s="5">
        <v>84</v>
      </c>
      <c r="C22" s="5">
        <v>71</v>
      </c>
      <c r="D22" s="5">
        <v>155</v>
      </c>
    </row>
    <row r="23" spans="1:4" x14ac:dyDescent="0.25">
      <c r="A23" s="7" t="s">
        <v>46</v>
      </c>
      <c r="B23" s="5">
        <v>77</v>
      </c>
      <c r="C23" s="5">
        <v>31</v>
      </c>
      <c r="D23" s="5">
        <v>108</v>
      </c>
    </row>
    <row r="24" spans="1:4" x14ac:dyDescent="0.25">
      <c r="A24" s="7" t="s">
        <v>42</v>
      </c>
      <c r="B24" s="5">
        <v>448</v>
      </c>
      <c r="C24" s="5">
        <v>442</v>
      </c>
      <c r="D24" s="5">
        <v>890</v>
      </c>
    </row>
    <row r="35" spans="1:4" x14ac:dyDescent="0.25">
      <c r="A35" s="6" t="s">
        <v>45</v>
      </c>
      <c r="B35" s="6" t="s">
        <v>44</v>
      </c>
    </row>
    <row r="36" spans="1:4" x14ac:dyDescent="0.25">
      <c r="A36" s="6" t="s">
        <v>41</v>
      </c>
      <c r="B36" t="s">
        <v>18</v>
      </c>
      <c r="C36" t="s">
        <v>15</v>
      </c>
      <c r="D36" t="s">
        <v>42</v>
      </c>
    </row>
    <row r="37" spans="1:4" x14ac:dyDescent="0.25">
      <c r="A37" s="7" t="s">
        <v>47</v>
      </c>
      <c r="B37" s="5">
        <v>331</v>
      </c>
      <c r="C37" s="5">
        <v>388</v>
      </c>
      <c r="D37" s="5">
        <v>719</v>
      </c>
    </row>
    <row r="38" spans="1:4" x14ac:dyDescent="0.25">
      <c r="A38" s="7" t="s">
        <v>48</v>
      </c>
      <c r="B38" s="5">
        <v>117</v>
      </c>
      <c r="C38" s="5">
        <v>54</v>
      </c>
      <c r="D38" s="5">
        <v>171</v>
      </c>
    </row>
    <row r="39" spans="1:4" x14ac:dyDescent="0.25">
      <c r="A39" s="7" t="s">
        <v>42</v>
      </c>
      <c r="B39" s="5">
        <v>448</v>
      </c>
      <c r="C39" s="5">
        <v>442</v>
      </c>
      <c r="D39" s="5">
        <v>890</v>
      </c>
    </row>
    <row r="53" spans="1:4" x14ac:dyDescent="0.25">
      <c r="A53" s="6" t="s">
        <v>45</v>
      </c>
      <c r="B53" s="6" t="s">
        <v>44</v>
      </c>
    </row>
    <row r="54" spans="1:4" x14ac:dyDescent="0.25">
      <c r="A54" s="6" t="s">
        <v>41</v>
      </c>
      <c r="B54" t="s">
        <v>18</v>
      </c>
      <c r="C54" t="s">
        <v>15</v>
      </c>
      <c r="D54" t="s">
        <v>42</v>
      </c>
    </row>
    <row r="55" spans="1:4" x14ac:dyDescent="0.25">
      <c r="A55" s="7">
        <v>31</v>
      </c>
      <c r="B55" s="5">
        <v>17</v>
      </c>
      <c r="C55" s="5">
        <v>8</v>
      </c>
      <c r="D55" s="5">
        <v>25</v>
      </c>
    </row>
    <row r="56" spans="1:4" x14ac:dyDescent="0.25">
      <c r="A56" s="7">
        <v>32</v>
      </c>
      <c r="B56" s="5">
        <v>19</v>
      </c>
      <c r="C56" s="5">
        <v>14</v>
      </c>
      <c r="D56" s="5">
        <v>33</v>
      </c>
    </row>
    <row r="57" spans="1:4" x14ac:dyDescent="0.25">
      <c r="A57" s="7">
        <v>33</v>
      </c>
      <c r="B57" s="5">
        <v>8</v>
      </c>
      <c r="C57" s="5">
        <v>13</v>
      </c>
      <c r="D57" s="5">
        <v>21</v>
      </c>
    </row>
    <row r="58" spans="1:4" x14ac:dyDescent="0.25">
      <c r="A58" s="7">
        <v>34</v>
      </c>
      <c r="B58" s="5">
        <v>12</v>
      </c>
      <c r="C58" s="5">
        <v>19</v>
      </c>
      <c r="D58" s="5">
        <v>31</v>
      </c>
    </row>
    <row r="59" spans="1:4" x14ac:dyDescent="0.25">
      <c r="A59" s="7">
        <v>35</v>
      </c>
      <c r="B59" s="5">
        <v>14</v>
      </c>
      <c r="C59" s="5">
        <v>22</v>
      </c>
      <c r="D59" s="5">
        <v>36</v>
      </c>
    </row>
    <row r="60" spans="1:4" x14ac:dyDescent="0.25">
      <c r="A60" s="7">
        <v>36</v>
      </c>
      <c r="B60" s="5">
        <v>7</v>
      </c>
      <c r="C60" s="5">
        <v>30</v>
      </c>
      <c r="D60" s="5">
        <v>37</v>
      </c>
    </row>
    <row r="61" spans="1:4" x14ac:dyDescent="0.25">
      <c r="A61" s="7">
        <v>37</v>
      </c>
      <c r="B61" s="5">
        <v>4</v>
      </c>
      <c r="C61" s="5">
        <v>28</v>
      </c>
      <c r="D61" s="5">
        <v>32</v>
      </c>
    </row>
    <row r="62" spans="1:4" x14ac:dyDescent="0.25">
      <c r="A62" s="7">
        <v>38</v>
      </c>
      <c r="B62" s="5">
        <v>8</v>
      </c>
      <c r="C62" s="5">
        <v>29</v>
      </c>
      <c r="D62" s="5">
        <v>37</v>
      </c>
    </row>
    <row r="63" spans="1:4" x14ac:dyDescent="0.25">
      <c r="A63" s="7">
        <v>39</v>
      </c>
      <c r="B63" s="5">
        <v>10</v>
      </c>
      <c r="C63" s="5">
        <v>12</v>
      </c>
      <c r="D63" s="5">
        <v>22</v>
      </c>
    </row>
    <row r="64" spans="1:4" x14ac:dyDescent="0.25">
      <c r="A64" s="7">
        <v>40</v>
      </c>
      <c r="B64" s="5">
        <v>24</v>
      </c>
      <c r="C64" s="5">
        <v>18</v>
      </c>
      <c r="D64" s="5">
        <v>42</v>
      </c>
    </row>
    <row r="65" spans="1:4" x14ac:dyDescent="0.25">
      <c r="A65" s="7">
        <v>41</v>
      </c>
      <c r="B65" s="5">
        <v>13</v>
      </c>
      <c r="C65" s="5">
        <v>15</v>
      </c>
      <c r="D65" s="5">
        <v>28</v>
      </c>
    </row>
    <row r="66" spans="1:4" x14ac:dyDescent="0.25">
      <c r="A66" s="7">
        <v>42</v>
      </c>
      <c r="B66" s="5">
        <v>22</v>
      </c>
      <c r="C66" s="5">
        <v>12</v>
      </c>
      <c r="D66" s="5">
        <v>34</v>
      </c>
    </row>
    <row r="67" spans="1:4" x14ac:dyDescent="0.25">
      <c r="A67" s="7">
        <v>43</v>
      </c>
      <c r="B67" s="5">
        <v>17</v>
      </c>
      <c r="C67" s="5">
        <v>19</v>
      </c>
      <c r="D67" s="5">
        <v>36</v>
      </c>
    </row>
    <row r="68" spans="1:4" x14ac:dyDescent="0.25">
      <c r="A68" s="7">
        <v>44</v>
      </c>
      <c r="B68" s="5">
        <v>15</v>
      </c>
      <c r="C68" s="5">
        <v>12</v>
      </c>
      <c r="D68" s="5">
        <v>27</v>
      </c>
    </row>
    <row r="69" spans="1:4" x14ac:dyDescent="0.25">
      <c r="A69" s="7">
        <v>45</v>
      </c>
      <c r="B69" s="5">
        <v>18</v>
      </c>
      <c r="C69" s="5">
        <v>13</v>
      </c>
      <c r="D69" s="5">
        <v>31</v>
      </c>
    </row>
    <row r="70" spans="1:4" x14ac:dyDescent="0.25">
      <c r="A70" s="7">
        <v>46</v>
      </c>
      <c r="B70" s="5">
        <v>12</v>
      </c>
      <c r="C70" s="5">
        <v>15</v>
      </c>
      <c r="D70" s="5">
        <v>27</v>
      </c>
    </row>
    <row r="71" spans="1:4" x14ac:dyDescent="0.25">
      <c r="A71" s="7">
        <v>47</v>
      </c>
      <c r="B71" s="5">
        <v>19</v>
      </c>
      <c r="C71" s="5">
        <v>20</v>
      </c>
      <c r="D71" s="5">
        <v>39</v>
      </c>
    </row>
    <row r="72" spans="1:4" x14ac:dyDescent="0.25">
      <c r="A72" s="7">
        <v>48</v>
      </c>
      <c r="B72" s="5">
        <v>16</v>
      </c>
      <c r="C72" s="5">
        <v>13</v>
      </c>
      <c r="D72" s="5">
        <v>29</v>
      </c>
    </row>
    <row r="73" spans="1:4" x14ac:dyDescent="0.25">
      <c r="A73" s="7">
        <v>49</v>
      </c>
      <c r="B73" s="5">
        <v>15</v>
      </c>
      <c r="C73" s="5">
        <v>8</v>
      </c>
      <c r="D73" s="5">
        <v>23</v>
      </c>
    </row>
    <row r="74" spans="1:4" x14ac:dyDescent="0.25">
      <c r="A74" s="7">
        <v>50</v>
      </c>
      <c r="B74" s="5">
        <v>12</v>
      </c>
      <c r="C74" s="5">
        <v>12</v>
      </c>
      <c r="D74" s="5">
        <v>24</v>
      </c>
    </row>
    <row r="75" spans="1:4" x14ac:dyDescent="0.25">
      <c r="A75" s="7">
        <v>51</v>
      </c>
      <c r="B75" s="5">
        <v>10</v>
      </c>
      <c r="C75" s="5">
        <v>12</v>
      </c>
      <c r="D75" s="5">
        <v>22</v>
      </c>
    </row>
    <row r="76" spans="1:4" x14ac:dyDescent="0.25">
      <c r="A76" s="7">
        <v>52</v>
      </c>
      <c r="B76" s="5">
        <v>10</v>
      </c>
      <c r="C76" s="5">
        <v>15</v>
      </c>
      <c r="D76" s="5">
        <v>25</v>
      </c>
    </row>
    <row r="77" spans="1:4" x14ac:dyDescent="0.25">
      <c r="A77" s="7">
        <v>53</v>
      </c>
      <c r="B77" s="5">
        <v>11</v>
      </c>
      <c r="C77" s="5">
        <v>13</v>
      </c>
      <c r="D77" s="5">
        <v>24</v>
      </c>
    </row>
    <row r="78" spans="1:4" x14ac:dyDescent="0.25">
      <c r="A78" s="7">
        <v>54</v>
      </c>
      <c r="B78" s="5">
        <v>5</v>
      </c>
      <c r="C78" s="5">
        <v>11</v>
      </c>
      <c r="D78" s="5">
        <v>16</v>
      </c>
    </row>
    <row r="79" spans="1:4" x14ac:dyDescent="0.25">
      <c r="A79" s="7">
        <v>55</v>
      </c>
      <c r="B79" s="5">
        <v>13</v>
      </c>
      <c r="C79" s="5">
        <v>5</v>
      </c>
      <c r="D79" s="5">
        <v>18</v>
      </c>
    </row>
    <row r="80" spans="1:4" x14ac:dyDescent="0.25">
      <c r="A80" s="7">
        <v>56</v>
      </c>
      <c r="B80" s="5">
        <v>13</v>
      </c>
      <c r="C80" s="5">
        <v>3</v>
      </c>
      <c r="D80" s="5">
        <v>16</v>
      </c>
    </row>
    <row r="81" spans="1:4" x14ac:dyDescent="0.25">
      <c r="A81" s="7">
        <v>57</v>
      </c>
      <c r="B81" s="5">
        <v>4</v>
      </c>
      <c r="C81" s="5">
        <v>4</v>
      </c>
      <c r="D81" s="5">
        <v>8</v>
      </c>
    </row>
    <row r="82" spans="1:4" x14ac:dyDescent="0.25">
      <c r="A82" s="7">
        <v>58</v>
      </c>
      <c r="B82" s="5">
        <v>8</v>
      </c>
      <c r="C82" s="5">
        <v>4</v>
      </c>
      <c r="D82" s="5">
        <v>12</v>
      </c>
    </row>
    <row r="83" spans="1:4" x14ac:dyDescent="0.25">
      <c r="A83" s="7">
        <v>59</v>
      </c>
      <c r="B83" s="5">
        <v>14</v>
      </c>
      <c r="C83" s="5">
        <v>6</v>
      </c>
      <c r="D83" s="5">
        <v>20</v>
      </c>
    </row>
    <row r="84" spans="1:4" x14ac:dyDescent="0.25">
      <c r="A84" s="7">
        <v>60</v>
      </c>
      <c r="B84" s="5">
        <v>8</v>
      </c>
      <c r="C84" s="5">
        <v>7</v>
      </c>
      <c r="D84" s="5">
        <v>15</v>
      </c>
    </row>
    <row r="85" spans="1:4" x14ac:dyDescent="0.25">
      <c r="A85" s="7">
        <v>61</v>
      </c>
      <c r="B85" s="5">
        <v>5</v>
      </c>
      <c r="C85" s="5">
        <v>4</v>
      </c>
      <c r="D85" s="5">
        <v>9</v>
      </c>
    </row>
    <row r="86" spans="1:4" x14ac:dyDescent="0.25">
      <c r="A86" s="7">
        <v>62</v>
      </c>
      <c r="B86" s="5">
        <v>9</v>
      </c>
      <c r="C86" s="5">
        <v>4</v>
      </c>
      <c r="D86" s="5">
        <v>13</v>
      </c>
    </row>
    <row r="87" spans="1:4" x14ac:dyDescent="0.25">
      <c r="A87" s="7">
        <v>63</v>
      </c>
      <c r="B87" s="5">
        <v>7</v>
      </c>
      <c r="C87" s="5">
        <v>2</v>
      </c>
      <c r="D87" s="5">
        <v>9</v>
      </c>
    </row>
    <row r="88" spans="1:4" x14ac:dyDescent="0.25">
      <c r="A88" s="7">
        <v>64</v>
      </c>
      <c r="B88" s="5">
        <v>7</v>
      </c>
      <c r="C88" s="5">
        <v>3</v>
      </c>
      <c r="D88" s="5">
        <v>10</v>
      </c>
    </row>
    <row r="89" spans="1:4" x14ac:dyDescent="0.25">
      <c r="A89" s="7">
        <v>65</v>
      </c>
      <c r="B89" s="5">
        <v>6</v>
      </c>
      <c r="C89" s="5">
        <v>3</v>
      </c>
      <c r="D89" s="5">
        <v>9</v>
      </c>
    </row>
    <row r="90" spans="1:4" x14ac:dyDescent="0.25">
      <c r="A90" s="7">
        <v>66</v>
      </c>
      <c r="B90" s="5">
        <v>8</v>
      </c>
      <c r="C90" s="5">
        <v>6</v>
      </c>
      <c r="D90" s="5">
        <v>14</v>
      </c>
    </row>
    <row r="91" spans="1:4" x14ac:dyDescent="0.25">
      <c r="A91" s="7">
        <v>67</v>
      </c>
      <c r="B91" s="5">
        <v>8</v>
      </c>
      <c r="C91" s="5">
        <v>2</v>
      </c>
      <c r="D91" s="5">
        <v>10</v>
      </c>
    </row>
    <row r="92" spans="1:4" x14ac:dyDescent="0.25">
      <c r="A92" s="7">
        <v>68</v>
      </c>
      <c r="B92" s="5">
        <v>3</v>
      </c>
      <c r="C92" s="5"/>
      <c r="D92" s="5">
        <v>3</v>
      </c>
    </row>
    <row r="93" spans="1:4" x14ac:dyDescent="0.25">
      <c r="A93" s="7">
        <v>69</v>
      </c>
      <c r="B93" s="5">
        <v>8</v>
      </c>
      <c r="C93" s="5"/>
      <c r="D93" s="5">
        <v>8</v>
      </c>
    </row>
    <row r="94" spans="1:4" x14ac:dyDescent="0.25">
      <c r="A94" s="7">
        <v>70</v>
      </c>
      <c r="B94" s="5">
        <v>3</v>
      </c>
      <c r="C94" s="5">
        <v>1</v>
      </c>
      <c r="D94" s="5">
        <v>4</v>
      </c>
    </row>
    <row r="95" spans="1:4" x14ac:dyDescent="0.25">
      <c r="A95" s="7">
        <v>71</v>
      </c>
      <c r="B95" s="5">
        <v>1</v>
      </c>
      <c r="C95" s="5"/>
      <c r="D95" s="5">
        <v>1</v>
      </c>
    </row>
    <row r="96" spans="1:4" x14ac:dyDescent="0.25">
      <c r="A96" s="7">
        <v>72</v>
      </c>
      <c r="B96" s="5"/>
      <c r="C96" s="5">
        <v>1</v>
      </c>
      <c r="D96" s="5">
        <v>1</v>
      </c>
    </row>
    <row r="97" spans="1:4" x14ac:dyDescent="0.25">
      <c r="A97" s="7">
        <v>73</v>
      </c>
      <c r="B97" s="5">
        <v>2</v>
      </c>
      <c r="C97" s="5">
        <v>2</v>
      </c>
      <c r="D97" s="5">
        <v>4</v>
      </c>
    </row>
    <row r="98" spans="1:4" x14ac:dyDescent="0.25">
      <c r="A98" s="7">
        <v>74</v>
      </c>
      <c r="B98" s="5"/>
      <c r="C98" s="5">
        <v>1</v>
      </c>
      <c r="D98" s="5">
        <v>1</v>
      </c>
    </row>
    <row r="99" spans="1:4" x14ac:dyDescent="0.25">
      <c r="A99" s="7">
        <v>78</v>
      </c>
      <c r="B99" s="5">
        <v>1</v>
      </c>
      <c r="C99" s="5">
        <v>1</v>
      </c>
      <c r="D99" s="5">
        <v>2</v>
      </c>
    </row>
    <row r="100" spans="1:4" x14ac:dyDescent="0.25">
      <c r="A100" s="7">
        <v>80</v>
      </c>
      <c r="B100" s="5">
        <v>1</v>
      </c>
      <c r="C100" s="5"/>
      <c r="D100" s="5">
        <v>1</v>
      </c>
    </row>
    <row r="101" spans="1:4" x14ac:dyDescent="0.25">
      <c r="A101" s="7">
        <v>89</v>
      </c>
      <c r="B101" s="5">
        <v>1</v>
      </c>
      <c r="C101" s="5"/>
      <c r="D101" s="5">
        <v>1</v>
      </c>
    </row>
    <row r="102" spans="1:4" x14ac:dyDescent="0.25">
      <c r="A102" s="7" t="s">
        <v>42</v>
      </c>
      <c r="B102" s="5">
        <v>448</v>
      </c>
      <c r="C102" s="5">
        <v>442</v>
      </c>
      <c r="D102" s="5">
        <v>890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Gloria Abodunrin</cp:lastModifiedBy>
  <dcterms:created xsi:type="dcterms:W3CDTF">2022-03-18T02:50:57Z</dcterms:created>
  <dcterms:modified xsi:type="dcterms:W3CDTF">2026-04-17T15:18:42Z</dcterms:modified>
</cp:coreProperties>
</file>